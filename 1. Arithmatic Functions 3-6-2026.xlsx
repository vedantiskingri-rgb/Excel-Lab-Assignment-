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EB1E0B90-9A13-4162-AFEC-B1D3F78983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rithmatic Functions" sheetId="1" r:id="rId1"/>
    <sheet name="Operators" sheetId="2" r:id="rId2"/>
  </sheets>
  <definedNames>
    <definedName name="Basic_Salary">'Arithmatic Functions'!$J$7:$J$44</definedName>
    <definedName name="Depart">'Arithmatic Functions'!$H$7:$H$44</definedName>
    <definedName name="Department">'Arithmatic Functions'!$H$7:$H$44</definedName>
    <definedName name="Female">'Arithmatic Functions'!$F$7:$F$44</definedName>
    <definedName name="Reg">'Arithmatic Functions'!$I$7:$I$44</definedName>
    <definedName name="Region">'Arithmatic Functions'!$I$7:$I$44</definedName>
    <definedName name="Salary">'Arithmatic Functions'!$J$7:$J$44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" l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O35" i="1"/>
  <c r="P35" i="1"/>
  <c r="Q35" i="1"/>
  <c r="O44" i="1"/>
  <c r="P44" i="1"/>
  <c r="Q44" i="1"/>
  <c r="N35" i="1"/>
  <c r="N44" i="1"/>
  <c r="N34" i="1"/>
  <c r="O34" i="1"/>
  <c r="P34" i="1"/>
  <c r="Q34" i="1"/>
  <c r="N20" i="1"/>
  <c r="O20" i="1"/>
  <c r="P20" i="1"/>
  <c r="Q20" i="1"/>
  <c r="O21" i="1"/>
  <c r="P21" i="1"/>
  <c r="Q21" i="1"/>
  <c r="O22" i="1"/>
  <c r="P22" i="1"/>
  <c r="Q22" i="1"/>
  <c r="O23" i="1"/>
  <c r="P23" i="1"/>
  <c r="Q23" i="1"/>
  <c r="O24" i="1"/>
  <c r="P24" i="1"/>
  <c r="Q24" i="1"/>
  <c r="O25" i="1"/>
  <c r="P25" i="1"/>
  <c r="Q25" i="1"/>
  <c r="O26" i="1"/>
  <c r="P26" i="1"/>
  <c r="Q26" i="1"/>
  <c r="O27" i="1"/>
  <c r="P27" i="1"/>
  <c r="Q27" i="1"/>
  <c r="O28" i="1"/>
  <c r="P28" i="1"/>
  <c r="Q28" i="1"/>
  <c r="O29" i="1"/>
  <c r="P29" i="1"/>
  <c r="Q29" i="1"/>
  <c r="O30" i="1"/>
  <c r="P30" i="1"/>
  <c r="Q30" i="1"/>
  <c r="N21" i="1"/>
  <c r="N22" i="1"/>
  <c r="N23" i="1"/>
  <c r="N24" i="1"/>
  <c r="N25" i="1"/>
  <c r="N26" i="1"/>
  <c r="N27" i="1"/>
  <c r="N28" i="1"/>
  <c r="N29" i="1"/>
  <c r="N30" i="1"/>
  <c r="N16" i="1"/>
  <c r="N15" i="1"/>
  <c r="N11" i="1"/>
  <c r="N12" i="1"/>
  <c r="N14" i="1"/>
  <c r="N13" i="1"/>
  <c r="N6" i="1"/>
  <c r="N5" i="1"/>
  <c r="N8" i="1"/>
  <c r="N7" i="1"/>
  <c r="N4" i="1"/>
  <c r="N3" i="1"/>
  <c r="O9" i="2"/>
  <c r="M39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K9" i="2"/>
  <c r="M9" i="2" s="1"/>
  <c r="N9" i="2" s="1"/>
  <c r="K10" i="2"/>
  <c r="M10" i="2" s="1"/>
  <c r="K11" i="2"/>
  <c r="M11" i="2" s="1"/>
  <c r="K12" i="2"/>
  <c r="K13" i="2"/>
  <c r="M13" i="2" s="1"/>
  <c r="K14" i="2"/>
  <c r="K15" i="2"/>
  <c r="M15" i="2" s="1"/>
  <c r="K16" i="2"/>
  <c r="M16" i="2" s="1"/>
  <c r="N16" i="2" s="1"/>
  <c r="K17" i="2"/>
  <c r="M17" i="2" s="1"/>
  <c r="N17" i="2" s="1"/>
  <c r="K18" i="2"/>
  <c r="M18" i="2" s="1"/>
  <c r="K19" i="2"/>
  <c r="M19" i="2" s="1"/>
  <c r="K20" i="2"/>
  <c r="K21" i="2"/>
  <c r="M21" i="2" s="1"/>
  <c r="K22" i="2"/>
  <c r="K23" i="2"/>
  <c r="M23" i="2" s="1"/>
  <c r="K24" i="2"/>
  <c r="M24" i="2" s="1"/>
  <c r="N24" i="2" s="1"/>
  <c r="K25" i="2"/>
  <c r="M25" i="2" s="1"/>
  <c r="N25" i="2" s="1"/>
  <c r="K26" i="2"/>
  <c r="M26" i="2" s="1"/>
  <c r="K27" i="2"/>
  <c r="M27" i="2" s="1"/>
  <c r="K28" i="2"/>
  <c r="K29" i="2"/>
  <c r="M29" i="2" s="1"/>
  <c r="K30" i="2"/>
  <c r="K31" i="2"/>
  <c r="M31" i="2" s="1"/>
  <c r="K32" i="2"/>
  <c r="M32" i="2" s="1"/>
  <c r="N32" i="2" s="1"/>
  <c r="K33" i="2"/>
  <c r="M33" i="2" s="1"/>
  <c r="N33" i="2" s="1"/>
  <c r="K34" i="2"/>
  <c r="M34" i="2" s="1"/>
  <c r="K35" i="2"/>
  <c r="M35" i="2" s="1"/>
  <c r="K36" i="2"/>
  <c r="K37" i="2"/>
  <c r="M37" i="2" s="1"/>
  <c r="K38" i="2"/>
  <c r="K39" i="2"/>
  <c r="K40" i="2"/>
  <c r="M40" i="2" s="1"/>
  <c r="N40" i="2" s="1"/>
  <c r="K41" i="2"/>
  <c r="M41" i="2" s="1"/>
  <c r="N41" i="2" s="1"/>
  <c r="K42" i="2"/>
  <c r="M42" i="2" s="1"/>
  <c r="K43" i="2"/>
  <c r="M43" i="2" s="1"/>
  <c r="K44" i="2"/>
  <c r="K45" i="2"/>
  <c r="M45" i="2" s="1"/>
  <c r="K46" i="2"/>
  <c r="O14" i="1"/>
  <c r="O15" i="1"/>
  <c r="O16" i="1"/>
  <c r="O12" i="1"/>
  <c r="O13" i="1"/>
  <c r="O11" i="1"/>
  <c r="M38" i="2" l="1"/>
  <c r="M30" i="2"/>
  <c r="M22" i="2"/>
  <c r="N22" i="2" s="1"/>
  <c r="O22" i="2" s="1"/>
  <c r="M14" i="2"/>
  <c r="M46" i="2"/>
  <c r="N31" i="2"/>
  <c r="O31" i="2" s="1"/>
  <c r="N23" i="2"/>
  <c r="O23" i="2" s="1"/>
  <c r="N15" i="2"/>
  <c r="O15" i="2" s="1"/>
  <c r="N39" i="2"/>
  <c r="O39" i="2" s="1"/>
  <c r="M44" i="2"/>
  <c r="M36" i="2"/>
  <c r="M28" i="2"/>
  <c r="N28" i="2" s="1"/>
  <c r="O28" i="2" s="1"/>
  <c r="M20" i="2"/>
  <c r="M12" i="2"/>
  <c r="N46" i="2"/>
  <c r="O46" i="2" s="1"/>
  <c r="N38" i="2"/>
  <c r="O38" i="2" s="1"/>
  <c r="N13" i="2"/>
  <c r="O13" i="2" s="1"/>
  <c r="N29" i="2"/>
  <c r="O29" i="2" s="1"/>
  <c r="N30" i="2"/>
  <c r="O30" i="2" s="1"/>
  <c r="N14" i="2"/>
  <c r="O14" i="2" s="1"/>
  <c r="N45" i="2"/>
  <c r="O45" i="2" s="1"/>
  <c r="N37" i="2"/>
  <c r="O37" i="2" s="1"/>
  <c r="N21" i="2"/>
  <c r="O21" i="2" s="1"/>
  <c r="N44" i="2"/>
  <c r="O44" i="2" s="1"/>
  <c r="N36" i="2"/>
  <c r="O36" i="2" s="1"/>
  <c r="N20" i="2"/>
  <c r="O20" i="2" s="1"/>
  <c r="N12" i="2"/>
  <c r="O12" i="2" s="1"/>
  <c r="N43" i="2"/>
  <c r="O43" i="2"/>
  <c r="N35" i="2"/>
  <c r="O35" i="2"/>
  <c r="N27" i="2"/>
  <c r="O27" i="2" s="1"/>
  <c r="N19" i="2"/>
  <c r="O19" i="2"/>
  <c r="N11" i="2"/>
  <c r="O11" i="2" s="1"/>
  <c r="N42" i="2"/>
  <c r="O42" i="2" s="1"/>
  <c r="N34" i="2"/>
  <c r="O34" i="2" s="1"/>
  <c r="N26" i="2"/>
  <c r="O26" i="2" s="1"/>
  <c r="N18" i="2"/>
  <c r="O18" i="2" s="1"/>
  <c r="N10" i="2"/>
  <c r="O10" i="2"/>
  <c r="O25" i="2"/>
  <c r="O17" i="2"/>
  <c r="O41" i="2"/>
  <c r="O40" i="2"/>
  <c r="O32" i="2"/>
  <c r="O24" i="2"/>
  <c r="O16" i="2"/>
  <c r="O33" i="2"/>
</calcChain>
</file>

<file path=xl/sharedStrings.xml><?xml version="1.0" encoding="utf-8"?>
<sst xmlns="http://schemas.openxmlformats.org/spreadsheetml/2006/main" count="539" uniqueCount="131">
  <si>
    <t>Create a summary Data Analysis about the dataset given below.</t>
  </si>
  <si>
    <t>Descriptive Analysis</t>
  </si>
  <si>
    <t>Use Name Range concept to apply functions.</t>
  </si>
  <si>
    <t>Total Salary</t>
  </si>
  <si>
    <t>Average Salary</t>
  </si>
  <si>
    <t>Median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</si>
  <si>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</si>
  <si>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</si>
  <si>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</si>
  <si>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</si>
  <si>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</si>
  <si>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</si>
  <si>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</si>
  <si>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</si>
  <si>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</si>
  <si>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</si>
  <si>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</si>
  <si>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</si>
  <si>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</si>
  <si>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</si>
  <si>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</si>
  <si>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</si>
  <si>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</si>
  <si>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</si>
  <si>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</si>
  <si>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</si>
  <si>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</si>
  <si>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</si>
  <si>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</si>
  <si>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</si>
  <si>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</si>
  <si>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</si>
  <si>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</si>
  <si>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</si>
  <si>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</si>
  <si>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</si>
  <si>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</si>
  <si>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</si>
  <si>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</si>
  <si>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of males</t>
  </si>
  <si>
    <t>Dedhia</t>
  </si>
  <si>
    <t>Director</t>
  </si>
  <si>
    <t>total number of females</t>
  </si>
  <si>
    <t>Dattatray</t>
  </si>
  <si>
    <t>Desai</t>
  </si>
  <si>
    <t>Learning &amp; Development</t>
  </si>
  <si>
    <t>Mid West</t>
  </si>
  <si>
    <t>Total number Employees working in North</t>
  </si>
  <si>
    <t>Vishnu</t>
  </si>
  <si>
    <t>Average Salary Paid to Sales Departement of North Region</t>
  </si>
  <si>
    <t>Dinesh</t>
  </si>
  <si>
    <t>Dhanuka</t>
  </si>
  <si>
    <t>East</t>
  </si>
  <si>
    <t>Max Salary paid in Digital Marketing</t>
  </si>
  <si>
    <t>Heena</t>
  </si>
  <si>
    <t>Dongre</t>
  </si>
  <si>
    <t>Min Salary paid in South Region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</si>
  <si>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</si>
  <si>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</si>
  <si>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</si>
  <si>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</si>
  <si>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</si>
  <si>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</si>
  <si>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</si>
  <si>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</si>
  <si>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</si>
  <si>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</si>
  <si>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</si>
  <si>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</si>
  <si>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</si>
  <si>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</si>
  <si>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</si>
  <si>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</si>
  <si>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</si>
  <si>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</si>
  <si>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</si>
  <si>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</si>
  <si>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</si>
  <si>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</si>
  <si>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</si>
  <si>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</si>
  <si>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</si>
  <si>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</si>
  <si>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</si>
  <si>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</si>
  <si>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</si>
  <si>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</si>
  <si>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</si>
  <si>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</si>
  <si>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</si>
  <si>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</si>
  <si>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</si>
  <si>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</si>
  <si>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</si>
  <si>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</si>
  <si>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</si>
  <si>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</si>
  <si>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</si>
  <si>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</si>
  <si>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</si>
  <si>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</si>
  <si>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</si>
  <si>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</si>
  <si>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</si>
  <si>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</si>
  <si>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</si>
  <si>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</si>
  <si>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</si>
  <si>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</si>
  <si>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</si>
  <si>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</si>
  <si>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</si>
  <si>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</si>
  <si>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Calculate HRA at 45% of Basic salary</t>
  </si>
  <si>
    <t>Give Annual Bonus as 1000 Gift Voucher plus 5% of Basic salary</t>
  </si>
  <si>
    <t>Calcualte Gross Salary</t>
  </si>
  <si>
    <t>Calculate professional tax at 5%</t>
  </si>
  <si>
    <t>Calcualte Net Salary</t>
  </si>
  <si>
    <t>HRA45%</t>
  </si>
  <si>
    <t>Bonus(1000+5%)</t>
  </si>
  <si>
    <t>Gross Salart</t>
  </si>
  <si>
    <t>Professional tex 5%</t>
  </si>
  <si>
    <t>Net Salary</t>
  </si>
  <si>
    <t>1</t>
  </si>
  <si>
    <t>2</t>
  </si>
  <si>
    <t>3</t>
  </si>
  <si>
    <t>4</t>
  </si>
  <si>
    <t>5</t>
  </si>
  <si>
    <t>MidWest</t>
  </si>
  <si>
    <t>Region &amp; Departmentwise Report Salary</t>
  </si>
  <si>
    <t>Region &amp; Departmentwise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</si>
</sst>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9FAFB"/>
      <name val="Segoe UI"/>
      <family val="2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3" fillId="0" borderId="5" xfId="0" applyFont="1" applyBorder="1"/>
    <xf numFmtId="0" fontId="4" fillId="0" borderId="5" xfId="0" quotePrefix="1" applyFont="1" applyBorder="1"/>
    <xf numFmtId="0" fontId="6" fillId="0" borderId="0" xfId="0" applyFont="1"/>
    <xf numFmtId="0" fontId="0" fillId="0" borderId="5" xfId="0" quotePrefix="1" applyBorder="1" applyAlignment="1">
      <alignment horizontal="center"/>
    </xf>
    <xf numFmtId="0" fontId="0" fillId="0" borderId="5" xfId="0" quotePrefix="1" applyBorder="1"/>
    <xf numFmtId="15" fontId="0" fillId="0" borderId="5" xfId="0" applyNumberFormat="1" applyBorder="1" applyAlignment="1">
      <alignment horizontal="center"/>
    </xf>
    <xf numFmtId="0" fontId="4" fillId="3" borderId="3" xfId="0" applyFont="1" applyFill="1" applyBorder="1"/>
    <xf numFmtId="1" fontId="4" fillId="3" borderId="3" xfId="0" applyNumberFormat="1" applyFont="1" applyFill="1" applyBorder="1"/>
    <xf numFmtId="0" fontId="4" fillId="3" borderId="4" xfId="0" applyFont="1" applyFill="1" applyBorder="1"/>
    <xf numFmtId="0" fontId="0" fillId="3" borderId="5" xfId="0" applyFill="1" applyBorder="1"/>
    <xf numFmtId="0" fontId="4" fillId="3" borderId="6" xfId="0" applyFont="1" applyFill="1" applyBorder="1"/>
    <xf numFmtId="0" fontId="4" fillId="3" borderId="5" xfId="0" applyFont="1" applyFill="1" applyBorder="1"/>
    <xf numFmtId="0" fontId="3" fillId="3" borderId="5" xfId="0" applyFont="1" applyFill="1" applyBorder="1"/>
    <xf numFmtId="0" fontId="7" fillId="0" borderId="0" xfId="0" applyFont="1"/>
    <xf numFmtId="0" fontId="0" fillId="0" borderId="9" xfId="0" quotePrefix="1" applyBorder="1" applyAlignment="1">
      <alignment horizontal="center"/>
    </xf>
    <xf numFmtId="0" fontId="0" fillId="3" borderId="7" xfId="0" applyFill="1" applyBorder="1"/>
    <xf numFmtId="0" fontId="5" fillId="0" borderId="10" xfId="0" applyFont="1" applyBorder="1"/>
    <xf numFmtId="0" fontId="5" fillId="0" borderId="11" xfId="0" applyFont="1" applyBorder="1"/>
    <xf numFmtId="0" fontId="6" fillId="0" borderId="11" xfId="0" applyFont="1" applyBorder="1"/>
    <xf numFmtId="0" fontId="6" fillId="0" borderId="12" xfId="0" applyFont="1" applyBorder="1"/>
    <xf numFmtId="0" fontId="0" fillId="0" borderId="13" xfId="0" quotePrefix="1" applyBorder="1" applyAlignment="1">
      <alignment horizontal="center"/>
    </xf>
    <xf numFmtId="0" fontId="0" fillId="0" borderId="14" xfId="0" quotePrefix="1" applyBorder="1"/>
    <xf numFmtId="15" fontId="0" fillId="0" borderId="14" xfId="0" applyNumberFormat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4" xfId="0" applyBorder="1"/>
    <xf numFmtId="0" fontId="0" fillId="3" borderId="14" xfId="0" applyFill="1" applyBorder="1"/>
    <xf numFmtId="0" fontId="0" fillId="3" borderId="15" xfId="0" applyFill="1" applyBorder="1"/>
    <xf numFmtId="0" fontId="8" fillId="3" borderId="0" xfId="0" applyFont="1" applyFill="1"/>
    <xf numFmtId="0" fontId="4" fillId="4" borderId="5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6" fillId="0" borderId="0" xfId="0" applyFont="1" applyAlignment="1">
      <alignment horizontal="left"/>
    </xf>
  </cellXfs>
  <cellStyles count="1">
    <cellStyle name="Normal" xfId="0" builtinId="0"/>
  </cellStyles>
  <dxfs count="19">
    <dxf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7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3999755851924192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EEED74E-581D-4831-83CB-C23C4A0D14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5398DB-4543-4C04-BC5C-BFAABA0E73E8}" name="mydata" displayName="mydata" ref="B8:O46" totalsRowShown="0" headerRowDxfId="18" dataDxfId="16" headerRowBorderDxfId="17" tableBorderDxfId="15" totalsRowBorderDxfId="14">
  <autoFilter ref="B8:O46" xr:uid="{185398DB-4543-4C04-BC5C-BFAABA0E73E8}"/>
  <tableColumns count="14">
    <tableColumn id="1" xr3:uid="{48FFBE37-7E82-40CC-A9FC-E056BD8CE2EF}" name="C_Code" dataDxfId="13"/>
    <tableColumn id="2" xr3:uid="{2766748F-952E-46B6-AC6F-2B413C446D49}" name="FirstName" dataDxfId="12"/>
    <tableColumn id="3" xr3:uid="{9D164338-7064-44FC-BF73-9851D86DE440}" name="LastName" dataDxfId="11"/>
    <tableColumn id="4" xr3:uid="{FCCAB248-51C9-40BC-ACE1-F95808E846AE}" name="Birthdate" dataDxfId="10"/>
    <tableColumn id="5" xr3:uid="{DEBD3671-1B7B-4CF9-9B49-32E7CA75DA2A}" name="Gender" dataDxfId="9"/>
    <tableColumn id="6" xr3:uid="{9099F313-1BBF-4BD7-9000-B812DFFD1FA5}" name="M_Status" dataDxfId="8"/>
    <tableColumn id="7" xr3:uid="{35EEB55D-BA78-4011-BD84-5F834F501B92}" name="Department" dataDxfId="7"/>
    <tableColumn id="8" xr3:uid="{29622C9B-3BFC-4CE1-9482-A645307DA1AF}" name="Region" dataDxfId="6"/>
    <tableColumn id="9" xr3:uid="{4309D1E2-FC6C-4D7B-B175-0A2E6A51ED51}" name="Basic Salary" dataDxfId="5"/>
    <tableColumn id="10" xr3:uid="{12A342E3-38B0-4F7D-8FC8-5A5B5641BE31}" name="1" dataDxfId="4">
      <calculatedColumnFormula>mydata[[#This Row],[Basic Salary]]*45/100</calculatedColumnFormula>
    </tableColumn>
    <tableColumn id="11" xr3:uid="{A2946903-E2D2-40C1-A9E5-7A41868D1448}" name="2" dataDxfId="3">
      <calculatedColumnFormula>mydata[[#This Row],[Basic Salary]]*5/100+1000</calculatedColumnFormula>
    </tableColumn>
    <tableColumn id="12" xr3:uid="{F3182613-8C19-41EE-ABB7-E6FC655BA043}" name="3" dataDxfId="2">
      <calculatedColumnFormula>mydata[[#This Row],[Basic Salary]]+mydata[[#This Row],[1]]+mydata[[#This Row],[2]]</calculatedColumnFormula>
    </tableColumn>
    <tableColumn id="13" xr3:uid="{DE9ADE47-5B90-4B61-92FE-DA067F9E7D10}" name="4" dataDxfId="1">
      <calculatedColumnFormula>mydata[[#This Row],[3]]*5/100</calculatedColumnFormula>
    </tableColumn>
    <tableColumn id="14" xr3:uid="{934E91CD-66AE-4FE6-A397-A8D49B6F8F01}" name="5" dataDxfId="0">
      <calculatedColumnFormula>M9:M46-N9:N46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4"/>
  <sheetViews>
    <sheetView tabSelected="1" topLeftCell="C19" zoomScale="99" zoomScaleNormal="99" workbookViewId="0">
      <selection activeCell="L46" sqref="L46"/>
    </sheetView>
  </sheetViews>
  <sheetFormatPr defaultColWidth="14.44140625" defaultRowHeight="14.4" x14ac:dyDescent="0.3"/>
  <cols>
    <col min="1" max="1" width="8.6640625" customWidth="1"/>
    <col min="2" max="2" width="7.44140625" bestFit="1" customWidth="1"/>
    <col min="3" max="4" width="13.33203125" bestFit="1" customWidth="1"/>
    <col min="5" max="5" width="10" bestFit="1" customWidth="1"/>
    <col min="6" max="6" width="7.21875" bestFit="1" customWidth="1"/>
    <col min="7" max="7" width="9" bestFit="1" customWidth="1"/>
    <col min="8" max="8" width="21.5546875" bestFit="1" customWidth="1"/>
    <col min="9" max="9" width="8.77734375" bestFit="1" customWidth="1"/>
    <col min="10" max="10" width="10.77734375" bestFit="1" customWidth="1"/>
    <col min="11" max="12" width="8.6640625" customWidth="1"/>
    <col min="13" max="13" width="49.5546875" bestFit="1" customWidth="1"/>
    <col min="14" max="16" width="8.33203125" customWidth="1"/>
    <col min="17" max="17" width="9" customWidth="1"/>
    <col min="18" max="26" width="8.6640625" customWidth="1"/>
  </cols>
  <sheetData>
    <row r="2" spans="2:15" x14ac:dyDescent="0.3">
      <c r="C2" s="41" t="s">
        <v>0</v>
      </c>
      <c r="D2" s="41"/>
      <c r="E2" s="41"/>
      <c r="F2" s="41"/>
      <c r="G2" s="41"/>
      <c r="H2" s="41"/>
      <c r="I2" s="41"/>
      <c r="J2" s="41"/>
      <c r="M2" s="42" t="s">
        <v>1</v>
      </c>
      <c r="N2" s="43"/>
    </row>
    <row r="3" spans="2:15" x14ac:dyDescent="0.3">
      <c r="C3" s="41" t="s">
        <v>2</v>
      </c>
      <c r="D3" s="41"/>
      <c r="E3" s="41"/>
      <c r="F3" s="41"/>
      <c r="G3" s="41"/>
      <c r="H3" s="41"/>
      <c r="I3" s="41"/>
      <c r="J3" s="41"/>
      <c r="M3" s="1" t="s">
        <v>3</v>
      </c>
      <c r="N3" s="15">
        <f>SUM(Basic_Salary)</f>
        <v>2191000</v>
      </c>
    </row>
    <row r="4" spans="2:15" x14ac:dyDescent="0.3">
      <c r="M4" s="1" t="s">
        <v>4</v>
      </c>
      <c r="N4" s="16">
        <f>AVERAGE(Basic_Salary)</f>
        <v>57657.894736842107</v>
      </c>
    </row>
    <row r="5" spans="2:15" x14ac:dyDescent="0.3">
      <c r="M5" s="1" t="s">
        <v>5</v>
      </c>
      <c r="N5" s="15">
        <f>MEDIAN(Basic_Salary)</f>
        <v>55000</v>
      </c>
    </row>
    <row r="6" spans="2:15" x14ac:dyDescent="0.3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M6" s="1" t="s">
        <v>15</v>
      </c>
      <c r="N6" s="15">
        <f>COUNTA(ba)</f>
        <v>1</v>
      </c>
    </row>
    <row r="7" spans="2:15" x14ac:dyDescent="0.3">
      <c r="B7" s="3">
        <v>150834</v>
      </c>
      <c r="C7" s="4" t="s">
        <v>16</v>
      </c>
      <c r="D7" s="4" t="s">
        <v>17</v>
      </c>
      <c r="E7" s="5">
        <v>31199</v>
      </c>
      <c r="F7" s="6" t="s">
        <v>18</v>
      </c>
      <c r="G7" s="4" t="s">
        <v>19</v>
      </c>
      <c r="H7" s="4" t="s">
        <v>20</v>
      </c>
      <c r="I7" s="4" t="s">
        <v>21</v>
      </c>
      <c r="J7" s="2">
        <v>48000</v>
      </c>
      <c r="M7" s="1" t="s">
        <v>22</v>
      </c>
      <c r="N7" s="15">
        <f>MAX(Basic_Salary)</f>
        <v>92000</v>
      </c>
    </row>
    <row r="8" spans="2:15" x14ac:dyDescent="0.3">
      <c r="B8" s="3">
        <v>150784</v>
      </c>
      <c r="C8" s="4" t="s">
        <v>23</v>
      </c>
      <c r="D8" s="4" t="s">
        <v>24</v>
      </c>
      <c r="E8" s="5">
        <v>28365</v>
      </c>
      <c r="F8" s="6" t="s">
        <v>18</v>
      </c>
      <c r="G8" s="4" t="s">
        <v>25</v>
      </c>
      <c r="H8" s="4" t="s">
        <v>26</v>
      </c>
      <c r="I8" s="4" t="s">
        <v>21</v>
      </c>
      <c r="J8" s="2">
        <v>35000</v>
      </c>
      <c r="M8" s="1" t="s">
        <v>27</v>
      </c>
      <c r="N8" s="15">
        <f>MIN(Basic_Salary)</f>
        <v>15000</v>
      </c>
    </row>
    <row r="9" spans="2:15" x14ac:dyDescent="0.3">
      <c r="B9" s="3">
        <v>150791</v>
      </c>
      <c r="C9" s="4" t="s">
        <v>28</v>
      </c>
      <c r="D9" s="4" t="s">
        <v>29</v>
      </c>
      <c r="E9" s="5">
        <v>23346</v>
      </c>
      <c r="F9" s="6" t="s">
        <v>18</v>
      </c>
      <c r="G9" s="4" t="s">
        <v>19</v>
      </c>
      <c r="H9" s="4" t="s">
        <v>26</v>
      </c>
      <c r="I9" s="4" t="s">
        <v>21</v>
      </c>
      <c r="J9" s="2">
        <v>67000</v>
      </c>
    </row>
    <row r="10" spans="2:15" x14ac:dyDescent="0.3">
      <c r="B10" s="3">
        <v>150940</v>
      </c>
      <c r="C10" s="4" t="s">
        <v>30</v>
      </c>
      <c r="D10" s="4" t="s">
        <v>31</v>
      </c>
      <c r="E10" s="5">
        <v>26906</v>
      </c>
      <c r="F10" s="6" t="s">
        <v>32</v>
      </c>
      <c r="G10" s="4" t="s">
        <v>25</v>
      </c>
      <c r="H10" s="4" t="s">
        <v>33</v>
      </c>
      <c r="I10" s="4" t="s">
        <v>34</v>
      </c>
      <c r="J10" s="2">
        <v>87000</v>
      </c>
      <c r="M10" s="42" t="s">
        <v>35</v>
      </c>
      <c r="N10" s="43"/>
    </row>
    <row r="11" spans="2:15" x14ac:dyDescent="0.3">
      <c r="B11" s="3">
        <v>150777</v>
      </c>
      <c r="C11" s="4" t="s">
        <v>36</v>
      </c>
      <c r="D11" s="4" t="s">
        <v>37</v>
      </c>
      <c r="E11" s="5">
        <v>21123</v>
      </c>
      <c r="F11" s="6" t="s">
        <v>32</v>
      </c>
      <c r="G11" s="4" t="s">
        <v>19</v>
      </c>
      <c r="H11" s="4" t="s">
        <v>38</v>
      </c>
      <c r="I11" s="4" t="s">
        <v>21</v>
      </c>
      <c r="J11" s="2">
        <v>22000</v>
      </c>
      <c r="M11" s="2" t="s">
        <v>39</v>
      </c>
      <c r="N11" s="36">
        <f>COUNTIF(Female,"Male")</f>
        <v>23</v>
      </c>
      <c r="O11" t="str">
        <f ca="1">_xlfn.FORMULATEXT(N11)</f>
        <v>=COUNTIF(Female,"Male")</v>
      </c>
    </row>
    <row r="12" spans="2:15" x14ac:dyDescent="0.3">
      <c r="B12" s="3">
        <v>150805</v>
      </c>
      <c r="C12" s="4" t="s">
        <v>28</v>
      </c>
      <c r="D12" s="4" t="s">
        <v>40</v>
      </c>
      <c r="E12" s="5">
        <v>26172</v>
      </c>
      <c r="F12" s="6" t="s">
        <v>32</v>
      </c>
      <c r="G12" s="4" t="s">
        <v>19</v>
      </c>
      <c r="H12" s="4" t="s">
        <v>41</v>
      </c>
      <c r="I12" s="4" t="s">
        <v>21</v>
      </c>
      <c r="J12" s="2">
        <v>91000</v>
      </c>
      <c r="M12" s="2" t="s">
        <v>42</v>
      </c>
      <c r="N12" s="15">
        <f>COUNTIF(Female,"Female")</f>
        <v>15</v>
      </c>
      <c r="O12" t="str">
        <f t="shared" ref="O12:O16" ca="1" si="0">_xlfn.FORMULATEXT(N12)</f>
        <v>=COUNTIF(Female,"Female")</v>
      </c>
    </row>
    <row r="13" spans="2:15" x14ac:dyDescent="0.3">
      <c r="B13" s="3">
        <v>150990</v>
      </c>
      <c r="C13" s="4" t="s">
        <v>43</v>
      </c>
      <c r="D13" s="4" t="s">
        <v>44</v>
      </c>
      <c r="E13" s="5">
        <v>36400</v>
      </c>
      <c r="F13" s="6" t="s">
        <v>32</v>
      </c>
      <c r="G13" s="4" t="s">
        <v>19</v>
      </c>
      <c r="H13" s="4" t="s">
        <v>45</v>
      </c>
      <c r="I13" s="4" t="s">
        <v>46</v>
      </c>
      <c r="J13" s="2">
        <v>77000</v>
      </c>
      <c r="M13" s="2" t="s">
        <v>47</v>
      </c>
      <c r="N13" s="17">
        <f>COUNTIF(Region,"North")</f>
        <v>10</v>
      </c>
      <c r="O13" t="str">
        <f t="shared" ca="1" si="0"/>
        <v>=COUNTIF(Region,"North")</v>
      </c>
    </row>
    <row r="14" spans="2:15" x14ac:dyDescent="0.3">
      <c r="B14" s="3">
        <v>150989</v>
      </c>
      <c r="C14" s="4" t="s">
        <v>48</v>
      </c>
      <c r="D14" s="4" t="s">
        <v>44</v>
      </c>
      <c r="E14" s="5">
        <v>33113</v>
      </c>
      <c r="F14" s="6" t="s">
        <v>32</v>
      </c>
      <c r="G14" s="4" t="s">
        <v>19</v>
      </c>
      <c r="H14" s="4" t="s">
        <v>26</v>
      </c>
      <c r="I14" s="4" t="s">
        <v>46</v>
      </c>
      <c r="J14" s="2">
        <v>45000</v>
      </c>
      <c r="M14" s="7" t="s">
        <v>49</v>
      </c>
      <c r="N14" s="18">
        <f>AVERAGEIFS(Basic_Salary, Department,"Sales", Region,"North")</f>
        <v>52000</v>
      </c>
      <c r="O14" t="str">
        <f t="shared" ca="1" si="0"/>
        <v>=AVERAGEIFS(Basic_Salary, Department,"Sales", Region,"North")</v>
      </c>
    </row>
    <row r="15" spans="2:15" x14ac:dyDescent="0.3">
      <c r="B15" s="3">
        <v>150881</v>
      </c>
      <c r="C15" s="4" t="s">
        <v>50</v>
      </c>
      <c r="D15" s="4" t="s">
        <v>51</v>
      </c>
      <c r="E15" s="5">
        <v>30337</v>
      </c>
      <c r="F15" s="6" t="s">
        <v>32</v>
      </c>
      <c r="G15" s="4" t="s">
        <v>25</v>
      </c>
      <c r="H15" s="4" t="s">
        <v>26</v>
      </c>
      <c r="I15" s="4" t="s">
        <v>52</v>
      </c>
      <c r="J15" s="2">
        <v>92000</v>
      </c>
      <c r="M15" s="2" t="s">
        <v>53</v>
      </c>
      <c r="N15" s="19">
        <f>_xlfn.MAXIFS(Basic_Salary,Department,"Digital Marketing")</f>
        <v>92000</v>
      </c>
      <c r="O15" t="str">
        <f t="shared" ca="1" si="0"/>
        <v>=MAXIFS(Basic_Salary,Department,"Digital Marketing")</v>
      </c>
    </row>
    <row r="16" spans="2:15" x14ac:dyDescent="0.3">
      <c r="B16" s="3">
        <v>150814</v>
      </c>
      <c r="C16" s="4" t="s">
        <v>54</v>
      </c>
      <c r="D16" s="4" t="s">
        <v>55</v>
      </c>
      <c r="E16" s="5">
        <v>26246</v>
      </c>
      <c r="F16" s="6" t="s">
        <v>32</v>
      </c>
      <c r="G16" s="4" t="s">
        <v>19</v>
      </c>
      <c r="H16" s="4" t="s">
        <v>33</v>
      </c>
      <c r="I16" s="4" t="s">
        <v>21</v>
      </c>
      <c r="J16" s="2">
        <v>50000</v>
      </c>
      <c r="M16" s="7" t="s">
        <v>56</v>
      </c>
      <c r="N16" s="18">
        <f>_xlfn.MINIFS(Basic_Salary, Region,I10)</f>
        <v>19000</v>
      </c>
      <c r="O16" t="str">
        <f t="shared" ca="1" si="0"/>
        <v>=MINIFS(Basic_Salary, Region,I10)</v>
      </c>
    </row>
    <row r="17" spans="2:18" x14ac:dyDescent="0.3">
      <c r="B17" s="3">
        <v>150937</v>
      </c>
      <c r="C17" s="4" t="s">
        <v>57</v>
      </c>
      <c r="D17" s="4" t="s">
        <v>58</v>
      </c>
      <c r="E17" s="5">
        <v>24700</v>
      </c>
      <c r="F17" s="6" t="s">
        <v>32</v>
      </c>
      <c r="G17" s="4" t="s">
        <v>19</v>
      </c>
      <c r="H17" s="4" t="s">
        <v>45</v>
      </c>
      <c r="I17" s="4" t="s">
        <v>34</v>
      </c>
      <c r="J17" s="2">
        <v>37000</v>
      </c>
    </row>
    <row r="18" spans="2:18" x14ac:dyDescent="0.3">
      <c r="B18" s="3">
        <v>150888</v>
      </c>
      <c r="C18" s="4" t="s">
        <v>59</v>
      </c>
      <c r="D18" s="4" t="s">
        <v>60</v>
      </c>
      <c r="E18" s="5">
        <v>29221</v>
      </c>
      <c r="F18" s="6" t="s">
        <v>32</v>
      </c>
      <c r="G18" s="4" t="s">
        <v>19</v>
      </c>
      <c r="H18" s="4" t="s">
        <v>45</v>
      </c>
      <c r="I18" s="4" t="s">
        <v>52</v>
      </c>
      <c r="J18" s="2">
        <v>43000</v>
      </c>
      <c r="M18" s="38" t="s">
        <v>129</v>
      </c>
      <c r="N18" s="39"/>
      <c r="O18" s="39"/>
      <c r="P18" s="39"/>
      <c r="Q18" s="40"/>
    </row>
    <row r="19" spans="2:18" x14ac:dyDescent="0.3">
      <c r="B19" s="3">
        <v>150865</v>
      </c>
      <c r="C19" s="4" t="s">
        <v>61</v>
      </c>
      <c r="D19" s="4" t="s">
        <v>60</v>
      </c>
      <c r="E19" s="5">
        <v>31279</v>
      </c>
      <c r="F19" s="6" t="s">
        <v>18</v>
      </c>
      <c r="G19" s="4" t="s">
        <v>19</v>
      </c>
      <c r="H19" s="4" t="s">
        <v>62</v>
      </c>
      <c r="I19" s="4" t="s">
        <v>52</v>
      </c>
      <c r="J19" s="2">
        <v>90000</v>
      </c>
      <c r="M19" s="9" t="s">
        <v>68</v>
      </c>
      <c r="N19" s="9" t="s">
        <v>21</v>
      </c>
      <c r="O19" s="9" t="s">
        <v>34</v>
      </c>
      <c r="P19" s="9" t="s">
        <v>52</v>
      </c>
      <c r="Q19" s="9" t="s">
        <v>46</v>
      </c>
    </row>
    <row r="20" spans="2:18" x14ac:dyDescent="0.3">
      <c r="B20" s="3">
        <v>150858</v>
      </c>
      <c r="C20" s="4" t="s">
        <v>63</v>
      </c>
      <c r="D20" s="4" t="s">
        <v>64</v>
      </c>
      <c r="E20" s="5">
        <v>34846</v>
      </c>
      <c r="F20" s="6" t="s">
        <v>32</v>
      </c>
      <c r="G20" s="4" t="s">
        <v>19</v>
      </c>
      <c r="H20" s="4" t="s">
        <v>65</v>
      </c>
      <c r="I20" s="4" t="s">
        <v>52</v>
      </c>
      <c r="J20" s="2">
        <v>34000</v>
      </c>
      <c r="M20" s="10" t="s">
        <v>20</v>
      </c>
      <c r="N20" s="20">
        <f>SUMIFS(Basic_Salary,Department,$M20,Region,N$19)</f>
        <v>48000</v>
      </c>
      <c r="O20" s="20">
        <f>SUMIFS(Basic_Salary,Department,$M20,Region,O$19)</f>
        <v>62000</v>
      </c>
      <c r="P20" s="20">
        <f>SUMIFS(Basic_Salary,Department,$M20,Region,P$19)</f>
        <v>0</v>
      </c>
      <c r="Q20" s="20">
        <f>SUMIFS(Basic_Salary,Department,$M20,Region,Q$19)</f>
        <v>0</v>
      </c>
    </row>
    <row r="21" spans="2:18" ht="15" customHeight="1" x14ac:dyDescent="0.3">
      <c r="B21" s="3">
        <v>150930</v>
      </c>
      <c r="C21" s="4" t="s">
        <v>66</v>
      </c>
      <c r="D21" s="4" t="s">
        <v>67</v>
      </c>
      <c r="E21" s="5">
        <v>37027</v>
      </c>
      <c r="F21" s="6" t="s">
        <v>32</v>
      </c>
      <c r="G21" s="4" t="s">
        <v>19</v>
      </c>
      <c r="H21" s="4" t="s">
        <v>26</v>
      </c>
      <c r="I21" s="4" t="s">
        <v>34</v>
      </c>
      <c r="J21" s="2">
        <v>82000</v>
      </c>
      <c r="M21" s="10" t="s">
        <v>26</v>
      </c>
      <c r="N21" s="20">
        <f>SUMIFS(Basic_Salary,Department,$M21,Region,N$19)</f>
        <v>183000</v>
      </c>
      <c r="O21" s="20">
        <f>SUMIFS(Basic_Salary,Department,$M21,Region,O$19)</f>
        <v>82000</v>
      </c>
      <c r="P21" s="20">
        <f>SUMIFS(Basic_Salary,Department,$M21,Region,P$19)</f>
        <v>92000</v>
      </c>
      <c r="Q21" s="20">
        <f>SUMIFS(Basic_Salary,Department,$M21,Region,Q$19)</f>
        <v>45000</v>
      </c>
    </row>
    <row r="22" spans="2:18" x14ac:dyDescent="0.3">
      <c r="B22" s="3">
        <v>150894</v>
      </c>
      <c r="C22" s="4" t="s">
        <v>69</v>
      </c>
      <c r="D22" s="4" t="s">
        <v>70</v>
      </c>
      <c r="E22" s="5">
        <v>37124</v>
      </c>
      <c r="F22" s="6" t="s">
        <v>32</v>
      </c>
      <c r="G22" s="4" t="s">
        <v>19</v>
      </c>
      <c r="H22" s="4" t="s">
        <v>33</v>
      </c>
      <c r="I22" s="4" t="s">
        <v>34</v>
      </c>
      <c r="J22" s="2">
        <v>67000</v>
      </c>
      <c r="M22" s="10" t="s">
        <v>33</v>
      </c>
      <c r="N22" s="20">
        <f>SUMIFS(Basic_Salary,Department,$M22,Region,N$19)</f>
        <v>50000</v>
      </c>
      <c r="O22" s="20">
        <f>SUMIFS(Basic_Salary,Department,$M22,Region,O$19)</f>
        <v>154000</v>
      </c>
      <c r="P22" s="20">
        <f>SUMIFS(Basic_Salary,Department,$M22,Region,P$19)</f>
        <v>95000</v>
      </c>
      <c r="Q22" s="20">
        <f>SUMIFS(Basic_Salary,Department,$M22,Region,Q$19)</f>
        <v>15000</v>
      </c>
    </row>
    <row r="23" spans="2:18" x14ac:dyDescent="0.3">
      <c r="B23" s="3">
        <v>150947</v>
      </c>
      <c r="C23" s="4" t="s">
        <v>71</v>
      </c>
      <c r="D23" s="4" t="s">
        <v>72</v>
      </c>
      <c r="E23" s="5">
        <v>33449</v>
      </c>
      <c r="F23" s="6" t="s">
        <v>18</v>
      </c>
      <c r="G23" s="4" t="s">
        <v>19</v>
      </c>
      <c r="H23" s="4" t="s">
        <v>65</v>
      </c>
      <c r="I23" s="4" t="s">
        <v>34</v>
      </c>
      <c r="J23" s="2">
        <v>85000</v>
      </c>
      <c r="M23" s="10" t="s">
        <v>38</v>
      </c>
      <c r="N23" s="20">
        <f>SUMIFS(Basic_Salary,Department,$M23,Region,N$19)</f>
        <v>22000</v>
      </c>
      <c r="O23" s="20">
        <f>SUMIFS(Basic_Salary,Department,$M23,Region,O$19)</f>
        <v>58000</v>
      </c>
      <c r="P23" s="20">
        <f>SUMIFS(Basic_Salary,Department,$M23,Region,P$19)</f>
        <v>27000</v>
      </c>
      <c r="Q23" s="20">
        <f>SUMIFS(Basic_Salary,Department,$M23,Region,Q$19)</f>
        <v>47000</v>
      </c>
    </row>
    <row r="24" spans="2:18" x14ac:dyDescent="0.3">
      <c r="B24" s="3">
        <v>150905</v>
      </c>
      <c r="C24" s="4" t="s">
        <v>73</v>
      </c>
      <c r="D24" s="4" t="s">
        <v>74</v>
      </c>
      <c r="E24" s="5">
        <v>30819</v>
      </c>
      <c r="F24" s="6" t="s">
        <v>18</v>
      </c>
      <c r="G24" s="4" t="s">
        <v>25</v>
      </c>
      <c r="H24" s="4" t="s">
        <v>20</v>
      </c>
      <c r="I24" s="4" t="s">
        <v>34</v>
      </c>
      <c r="J24" s="2">
        <v>62000</v>
      </c>
      <c r="M24" s="10" t="s">
        <v>41</v>
      </c>
      <c r="N24" s="20">
        <f>SUMIFS(Basic_Salary,Department,$M24,Region,N$19)</f>
        <v>91000</v>
      </c>
      <c r="O24" s="20">
        <f>SUMIFS(Basic_Salary,Department,$M24,Region,O$19)</f>
        <v>87000</v>
      </c>
      <c r="P24" s="20">
        <f>SUMIFS(Basic_Salary,Department,$M24,Region,P$19)</f>
        <v>0</v>
      </c>
      <c r="Q24" s="20">
        <f>SUMIFS(Basic_Salary,Department,$M24,Region,Q$19)</f>
        <v>0</v>
      </c>
      <c r="R24" s="37"/>
    </row>
    <row r="25" spans="2:18" x14ac:dyDescent="0.3">
      <c r="B25" s="3">
        <v>150995</v>
      </c>
      <c r="C25" s="4" t="s">
        <v>75</v>
      </c>
      <c r="D25" s="4" t="s">
        <v>76</v>
      </c>
      <c r="E25" s="5">
        <v>35330</v>
      </c>
      <c r="F25" s="6" t="s">
        <v>32</v>
      </c>
      <c r="G25" s="4" t="s">
        <v>19</v>
      </c>
      <c r="H25" s="4" t="s">
        <v>33</v>
      </c>
      <c r="I25" s="4" t="s">
        <v>46</v>
      </c>
      <c r="J25" s="2">
        <v>15000</v>
      </c>
      <c r="M25" s="10" t="s">
        <v>45</v>
      </c>
      <c r="N25" s="20">
        <f>SUMIFS(Basic_Salary,Department,$M25,Region,N$19)</f>
        <v>0</v>
      </c>
      <c r="O25" s="20">
        <f>SUMIFS(Basic_Salary,Department,$M25,Region,O$19)</f>
        <v>37000</v>
      </c>
      <c r="P25" s="20">
        <f>SUMIFS(Basic_Salary,Department,$M25,Region,P$19)</f>
        <v>43000</v>
      </c>
      <c r="Q25" s="20">
        <f>SUMIFS(Basic_Salary,Department,$M25,Region,Q$19)</f>
        <v>77000</v>
      </c>
    </row>
    <row r="26" spans="2:18" x14ac:dyDescent="0.3">
      <c r="B26" s="3">
        <v>150912</v>
      </c>
      <c r="C26" s="4" t="s">
        <v>77</v>
      </c>
      <c r="D26" s="4" t="s">
        <v>78</v>
      </c>
      <c r="E26" s="5">
        <v>37629</v>
      </c>
      <c r="F26" s="6" t="s">
        <v>18</v>
      </c>
      <c r="G26" s="4" t="s">
        <v>19</v>
      </c>
      <c r="H26" s="4" t="s">
        <v>79</v>
      </c>
      <c r="I26" s="4" t="s">
        <v>34</v>
      </c>
      <c r="J26" s="2">
        <v>81000</v>
      </c>
      <c r="M26" s="10" t="s">
        <v>62</v>
      </c>
      <c r="N26" s="20">
        <f>SUMIFS(Basic_Salary,Department,$M26,Region,N$19)</f>
        <v>0</v>
      </c>
      <c r="O26" s="20">
        <f>SUMIFS(Basic_Salary,Department,$M26,Region,O$19)</f>
        <v>0</v>
      </c>
      <c r="P26" s="20">
        <f>SUMIFS(Basic_Salary,Department,$M26,Region,P$19)</f>
        <v>90000</v>
      </c>
      <c r="Q26" s="20">
        <f>SUMIFS(Basic_Salary,Department,$M26,Region,Q$19)</f>
        <v>0</v>
      </c>
    </row>
    <row r="27" spans="2:18" x14ac:dyDescent="0.3">
      <c r="B27" s="3">
        <v>150921</v>
      </c>
      <c r="C27" s="4" t="s">
        <v>80</v>
      </c>
      <c r="D27" s="4" t="s">
        <v>81</v>
      </c>
      <c r="E27" s="5">
        <v>38092</v>
      </c>
      <c r="F27" s="6" t="s">
        <v>32</v>
      </c>
      <c r="G27" s="4" t="s">
        <v>19</v>
      </c>
      <c r="H27" s="4" t="s">
        <v>82</v>
      </c>
      <c r="I27" s="4" t="s">
        <v>34</v>
      </c>
      <c r="J27" s="2">
        <v>19000</v>
      </c>
      <c r="M27" s="10" t="s">
        <v>65</v>
      </c>
      <c r="N27" s="20">
        <f>SUMIFS(Basic_Salary,Department,$M27,Region,N$19)</f>
        <v>26000</v>
      </c>
      <c r="O27" s="20">
        <f>SUMIFS(Basic_Salary,Department,$M27,Region,O$19)</f>
        <v>135000</v>
      </c>
      <c r="P27" s="20">
        <f>SUMIFS(Basic_Salary,Department,$M27,Region,P$19)</f>
        <v>81000</v>
      </c>
      <c r="Q27" s="20">
        <f>SUMIFS(Basic_Salary,Department,$M27,Region,Q$19)</f>
        <v>0</v>
      </c>
    </row>
    <row r="28" spans="2:18" x14ac:dyDescent="0.3">
      <c r="B28" s="3">
        <v>150851</v>
      </c>
      <c r="C28" s="4" t="s">
        <v>83</v>
      </c>
      <c r="D28" s="4" t="s">
        <v>84</v>
      </c>
      <c r="E28" s="5">
        <v>29368</v>
      </c>
      <c r="F28" s="6" t="s">
        <v>32</v>
      </c>
      <c r="G28" s="4" t="s">
        <v>25</v>
      </c>
      <c r="H28" s="4" t="s">
        <v>33</v>
      </c>
      <c r="I28" s="4" t="s">
        <v>52</v>
      </c>
      <c r="J28" s="2">
        <v>75000</v>
      </c>
      <c r="M28" s="10" t="s">
        <v>79</v>
      </c>
      <c r="N28" s="20">
        <f>SUMIFS(Basic_Salary,Department,$M28,Region,N$19)</f>
        <v>0</v>
      </c>
      <c r="O28" s="20">
        <f>SUMIFS(Basic_Salary,Department,$M28,Region,O$19)</f>
        <v>146000</v>
      </c>
      <c r="P28" s="20">
        <f>SUMIFS(Basic_Salary,Department,$M28,Region,P$19)</f>
        <v>0</v>
      </c>
      <c r="Q28" s="20">
        <f>SUMIFS(Basic_Salary,Department,$M28,Region,Q$19)</f>
        <v>0</v>
      </c>
    </row>
    <row r="29" spans="2:18" x14ac:dyDescent="0.3">
      <c r="B29" s="3">
        <v>150867</v>
      </c>
      <c r="C29" s="4" t="s">
        <v>85</v>
      </c>
      <c r="D29" s="4" t="s">
        <v>86</v>
      </c>
      <c r="E29" s="5">
        <v>29028</v>
      </c>
      <c r="F29" s="6" t="s">
        <v>18</v>
      </c>
      <c r="G29" s="4" t="s">
        <v>25</v>
      </c>
      <c r="H29" s="4" t="s">
        <v>82</v>
      </c>
      <c r="I29" s="4" t="s">
        <v>52</v>
      </c>
      <c r="J29" s="2">
        <v>49000</v>
      </c>
      <c r="M29" s="10" t="s">
        <v>82</v>
      </c>
      <c r="N29" s="20">
        <f>SUMIFS(Basic_Salary,Department,$M29,Region,N$19)</f>
        <v>85000</v>
      </c>
      <c r="O29" s="20">
        <f>SUMIFS(Basic_Salary,Department,$M29,Region,O$19)</f>
        <v>19000</v>
      </c>
      <c r="P29" s="20">
        <f>SUMIFS(Basic_Salary,Department,$M29,Region,P$19)</f>
        <v>49000</v>
      </c>
      <c r="Q29" s="20">
        <f>SUMIFS(Basic_Salary,Department,$M29,Region,Q$19)</f>
        <v>83000</v>
      </c>
    </row>
    <row r="30" spans="2:18" x14ac:dyDescent="0.3">
      <c r="B30" s="3">
        <v>150899</v>
      </c>
      <c r="C30" s="4" t="s">
        <v>87</v>
      </c>
      <c r="D30" s="4" t="s">
        <v>88</v>
      </c>
      <c r="E30" s="5">
        <v>37400</v>
      </c>
      <c r="F30" s="6" t="s">
        <v>32</v>
      </c>
      <c r="G30" s="4" t="s">
        <v>19</v>
      </c>
      <c r="H30" s="4" t="s">
        <v>65</v>
      </c>
      <c r="I30" s="4" t="s">
        <v>34</v>
      </c>
      <c r="J30" s="2">
        <v>50000</v>
      </c>
      <c r="M30" s="10" t="s">
        <v>93</v>
      </c>
      <c r="N30" s="20">
        <f>SUMIFS(Basic_Salary,Department,$M30,Region,N$19)</f>
        <v>52000</v>
      </c>
      <c r="O30" s="20">
        <f>SUMIFS(Basic_Salary,Department,$M30,Region,O$19)</f>
        <v>110000</v>
      </c>
      <c r="P30" s="20">
        <f>SUMIFS(Basic_Salary,Department,$M30,Region,P$19)</f>
        <v>0</v>
      </c>
      <c r="Q30" s="20">
        <f>SUMIFS(Basic_Salary,Department,$M30,Region,Q$19)</f>
        <v>0</v>
      </c>
    </row>
    <row r="31" spans="2:18" x14ac:dyDescent="0.3">
      <c r="B31" s="3">
        <v>150975</v>
      </c>
      <c r="C31" s="4" t="s">
        <v>89</v>
      </c>
      <c r="D31" s="4" t="s">
        <v>90</v>
      </c>
      <c r="E31" s="5">
        <v>31478</v>
      </c>
      <c r="F31" s="6" t="s">
        <v>32</v>
      </c>
      <c r="G31" s="4" t="s">
        <v>19</v>
      </c>
      <c r="H31" s="4" t="s">
        <v>82</v>
      </c>
      <c r="I31" s="4" t="s">
        <v>46</v>
      </c>
      <c r="J31" s="2">
        <v>83000</v>
      </c>
    </row>
    <row r="32" spans="2:18" x14ac:dyDescent="0.3">
      <c r="B32" s="3">
        <v>150901</v>
      </c>
      <c r="C32" s="4" t="s">
        <v>91</v>
      </c>
      <c r="D32" s="4" t="s">
        <v>92</v>
      </c>
      <c r="E32" s="5">
        <v>32946</v>
      </c>
      <c r="F32" s="6" t="s">
        <v>18</v>
      </c>
      <c r="G32" s="4" t="s">
        <v>19</v>
      </c>
      <c r="H32" s="4" t="s">
        <v>93</v>
      </c>
      <c r="I32" s="4" t="s">
        <v>34</v>
      </c>
      <c r="J32" s="2">
        <v>53000</v>
      </c>
      <c r="M32" s="38" t="s">
        <v>130</v>
      </c>
      <c r="N32" s="39"/>
      <c r="O32" s="39"/>
      <c r="P32" s="39"/>
      <c r="Q32" s="40"/>
    </row>
    <row r="33" spans="2:17" x14ac:dyDescent="0.3">
      <c r="B33" s="3">
        <v>150968</v>
      </c>
      <c r="C33" s="4" t="s">
        <v>94</v>
      </c>
      <c r="D33" s="4" t="s">
        <v>95</v>
      </c>
      <c r="E33" s="5">
        <v>37208</v>
      </c>
      <c r="F33" s="6" t="s">
        <v>32</v>
      </c>
      <c r="G33" s="4" t="s">
        <v>19</v>
      </c>
      <c r="H33" s="4" t="s">
        <v>79</v>
      </c>
      <c r="I33" s="4" t="s">
        <v>34</v>
      </c>
      <c r="J33" s="2">
        <v>65000</v>
      </c>
      <c r="M33" s="9" t="s">
        <v>68</v>
      </c>
      <c r="N33" s="21" t="s">
        <v>21</v>
      </c>
      <c r="O33" s="21" t="s">
        <v>34</v>
      </c>
      <c r="P33" s="21" t="s">
        <v>52</v>
      </c>
      <c r="Q33" s="21" t="s">
        <v>128</v>
      </c>
    </row>
    <row r="34" spans="2:17" x14ac:dyDescent="0.3">
      <c r="B34" s="3">
        <v>150773</v>
      </c>
      <c r="C34" s="4" t="s">
        <v>96</v>
      </c>
      <c r="D34" s="4" t="s">
        <v>97</v>
      </c>
      <c r="E34" s="5">
        <v>26860</v>
      </c>
      <c r="F34" s="6" t="s">
        <v>32</v>
      </c>
      <c r="G34" s="4" t="s">
        <v>19</v>
      </c>
      <c r="H34" s="4" t="s">
        <v>82</v>
      </c>
      <c r="I34" s="4" t="s">
        <v>21</v>
      </c>
      <c r="J34" s="2">
        <v>85000</v>
      </c>
      <c r="M34" s="10" t="s">
        <v>20</v>
      </c>
      <c r="N34" s="20">
        <f>COUNTIFS(Department,$M34,Region,N$33)</f>
        <v>1</v>
      </c>
      <c r="O34" s="20">
        <f>COUNTIFS(Department,$M34,Region,O33)</f>
        <v>1</v>
      </c>
      <c r="P34" s="20">
        <f>COUNTIFS(Department,$M34,Region,P33)</f>
        <v>0</v>
      </c>
      <c r="Q34" s="20">
        <f>COUNTIFS(Department,$M34,Region,Q33)</f>
        <v>0</v>
      </c>
    </row>
    <row r="35" spans="2:17" x14ac:dyDescent="0.3">
      <c r="B35" s="3">
        <v>150840</v>
      </c>
      <c r="C35" s="4" t="s">
        <v>66</v>
      </c>
      <c r="D35" s="4" t="s">
        <v>98</v>
      </c>
      <c r="E35" s="5">
        <v>23136</v>
      </c>
      <c r="F35" s="6" t="s">
        <v>18</v>
      </c>
      <c r="G35" s="4" t="s">
        <v>19</v>
      </c>
      <c r="H35" s="4" t="s">
        <v>33</v>
      </c>
      <c r="I35" s="4" t="s">
        <v>52</v>
      </c>
      <c r="J35" s="2">
        <v>20000</v>
      </c>
      <c r="M35" s="10" t="s">
        <v>26</v>
      </c>
      <c r="N35" s="20">
        <f>COUNTIFS(Department,$M35,Region,N$33)</f>
        <v>3</v>
      </c>
      <c r="O35" s="20">
        <f>COUNTIFS(Department,$M35,Region,O$33)</f>
        <v>1</v>
      </c>
      <c r="P35" s="20">
        <f>COUNTIFS(Department,$M35,Region,P$33)</f>
        <v>1</v>
      </c>
      <c r="Q35" s="20">
        <f>COUNTIFS(Department,$M35,Region,Q$33)</f>
        <v>0</v>
      </c>
    </row>
    <row r="36" spans="2:17" x14ac:dyDescent="0.3">
      <c r="B36" s="3">
        <v>150850</v>
      </c>
      <c r="C36" s="4" t="s">
        <v>57</v>
      </c>
      <c r="D36" s="4" t="s">
        <v>99</v>
      </c>
      <c r="E36" s="5">
        <v>32027</v>
      </c>
      <c r="F36" s="6" t="s">
        <v>32</v>
      </c>
      <c r="G36" s="4" t="s">
        <v>19</v>
      </c>
      <c r="H36" s="4" t="s">
        <v>65</v>
      </c>
      <c r="I36" s="4" t="s">
        <v>52</v>
      </c>
      <c r="J36" s="2">
        <v>47000</v>
      </c>
      <c r="M36" s="10" t="s">
        <v>33</v>
      </c>
      <c r="N36" s="20">
        <f>COUNTIFS(Department,$M36,Region,N$33)</f>
        <v>1</v>
      </c>
      <c r="O36" s="20">
        <f>COUNTIFS(Department,$M36,Region,O$33)</f>
        <v>2</v>
      </c>
      <c r="P36" s="20">
        <f>COUNTIFS(Department,$M36,Region,P$33)</f>
        <v>2</v>
      </c>
      <c r="Q36" s="20">
        <f>COUNTIFS(Department,$M36,Region,Q$33)</f>
        <v>0</v>
      </c>
    </row>
    <row r="37" spans="2:17" x14ac:dyDescent="0.3">
      <c r="B37" s="3">
        <v>150962</v>
      </c>
      <c r="C37" s="4" t="s">
        <v>100</v>
      </c>
      <c r="D37" s="4" t="s">
        <v>101</v>
      </c>
      <c r="E37" s="5">
        <v>37773</v>
      </c>
      <c r="F37" s="6" t="s">
        <v>18</v>
      </c>
      <c r="G37" s="4" t="s">
        <v>19</v>
      </c>
      <c r="H37" s="4" t="s">
        <v>41</v>
      </c>
      <c r="I37" s="4" t="s">
        <v>34</v>
      </c>
      <c r="J37" s="2">
        <v>87000</v>
      </c>
      <c r="M37" s="10" t="s">
        <v>38</v>
      </c>
      <c r="N37" s="20">
        <f>COUNTIFS(Department,$M37,Region,N$33)</f>
        <v>1</v>
      </c>
      <c r="O37" s="20">
        <f>COUNTIFS(Department,$M37,Region,O$33)</f>
        <v>1</v>
      </c>
      <c r="P37" s="20">
        <f>COUNTIFS(Department,$M37,Region,P$33)</f>
        <v>1</v>
      </c>
      <c r="Q37" s="20">
        <f>COUNTIFS(Department,$M37,Region,Q$33)</f>
        <v>0</v>
      </c>
    </row>
    <row r="38" spans="2:17" x14ac:dyDescent="0.3">
      <c r="B38" s="3">
        <v>150954</v>
      </c>
      <c r="C38" s="4" t="s">
        <v>102</v>
      </c>
      <c r="D38" s="4" t="s">
        <v>101</v>
      </c>
      <c r="E38" s="5">
        <v>35495</v>
      </c>
      <c r="F38" s="6" t="s">
        <v>18</v>
      </c>
      <c r="G38" s="4" t="s">
        <v>19</v>
      </c>
      <c r="H38" s="4" t="s">
        <v>93</v>
      </c>
      <c r="I38" s="4" t="s">
        <v>34</v>
      </c>
      <c r="J38" s="2">
        <v>57000</v>
      </c>
      <c r="M38" s="10" t="s">
        <v>41</v>
      </c>
      <c r="N38" s="20">
        <f>COUNTIFS(Department,$M38,Region,N$33)</f>
        <v>1</v>
      </c>
      <c r="O38" s="20">
        <f>COUNTIFS(Department,$M38,Region,O$33)</f>
        <v>1</v>
      </c>
      <c r="P38" s="20">
        <f>COUNTIFS(Department,$M38,Region,P$33)</f>
        <v>0</v>
      </c>
      <c r="Q38" s="20">
        <f>COUNTIFS(Department,$M38,Region,Q$33)</f>
        <v>0</v>
      </c>
    </row>
    <row r="39" spans="2:17" x14ac:dyDescent="0.3">
      <c r="B39" s="3">
        <v>150874</v>
      </c>
      <c r="C39" s="4" t="s">
        <v>103</v>
      </c>
      <c r="D39" s="4" t="s">
        <v>101</v>
      </c>
      <c r="E39" s="5">
        <v>37890</v>
      </c>
      <c r="F39" s="6" t="s">
        <v>18</v>
      </c>
      <c r="G39" s="4" t="s">
        <v>19</v>
      </c>
      <c r="H39" s="4" t="s">
        <v>38</v>
      </c>
      <c r="I39" s="4" t="s">
        <v>52</v>
      </c>
      <c r="J39" s="2">
        <v>27000</v>
      </c>
      <c r="M39" s="10" t="s">
        <v>45</v>
      </c>
      <c r="N39" s="20">
        <f>COUNTIFS(Department,$M39,Region,N$33)</f>
        <v>0</v>
      </c>
      <c r="O39" s="20">
        <f>COUNTIFS(Department,$M39,Region,O$33)</f>
        <v>1</v>
      </c>
      <c r="P39" s="20">
        <f>COUNTIFS(Department,$M39,Region,P$33)</f>
        <v>1</v>
      </c>
      <c r="Q39" s="20">
        <f>COUNTIFS(Department,$M39,Region,Q$33)</f>
        <v>0</v>
      </c>
    </row>
    <row r="40" spans="2:17" x14ac:dyDescent="0.3">
      <c r="B40" s="3">
        <v>150798</v>
      </c>
      <c r="C40" s="4" t="s">
        <v>104</v>
      </c>
      <c r="D40" s="4" t="s">
        <v>101</v>
      </c>
      <c r="E40" s="5">
        <v>28276</v>
      </c>
      <c r="F40" s="6" t="s">
        <v>18</v>
      </c>
      <c r="G40" s="4" t="s">
        <v>19</v>
      </c>
      <c r="H40" s="4" t="s">
        <v>26</v>
      </c>
      <c r="I40" s="4" t="s">
        <v>21</v>
      </c>
      <c r="J40" s="2">
        <v>81000</v>
      </c>
      <c r="M40" s="10" t="s">
        <v>62</v>
      </c>
      <c r="N40" s="20">
        <f>COUNTIFS(Department,$M40,Region,N$33)</f>
        <v>0</v>
      </c>
      <c r="O40" s="20">
        <f>COUNTIFS(Department,$M40,Region,O$33)</f>
        <v>0</v>
      </c>
      <c r="P40" s="20">
        <f>COUNTIFS(Department,$M40,Region,P$33)</f>
        <v>1</v>
      </c>
      <c r="Q40" s="20">
        <f>COUNTIFS(Department,$M40,Region,Q$33)</f>
        <v>0</v>
      </c>
    </row>
    <row r="41" spans="2:17" x14ac:dyDescent="0.3">
      <c r="B41" s="3">
        <v>150830</v>
      </c>
      <c r="C41" s="4" t="s">
        <v>105</v>
      </c>
      <c r="D41" s="4" t="s">
        <v>106</v>
      </c>
      <c r="E41" s="5">
        <v>29037</v>
      </c>
      <c r="F41" s="6" t="s">
        <v>18</v>
      </c>
      <c r="G41" s="4" t="s">
        <v>19</v>
      </c>
      <c r="H41" s="4" t="s">
        <v>93</v>
      </c>
      <c r="I41" s="4" t="s">
        <v>21</v>
      </c>
      <c r="J41" s="2">
        <v>52000</v>
      </c>
      <c r="M41" s="10" t="s">
        <v>65</v>
      </c>
      <c r="N41" s="20">
        <f>COUNTIFS(Department,$M41,Region,N$33)</f>
        <v>1</v>
      </c>
      <c r="O41" s="20">
        <f>COUNTIFS(Department,$M41,Region,O$33)</f>
        <v>2</v>
      </c>
      <c r="P41" s="20">
        <f>COUNTIFS(Department,$M41,Region,P$33)</f>
        <v>2</v>
      </c>
      <c r="Q41" s="20">
        <f>COUNTIFS(Department,$M41,Region,Q$33)</f>
        <v>0</v>
      </c>
    </row>
    <row r="42" spans="2:17" x14ac:dyDescent="0.3">
      <c r="B42" s="3">
        <v>150929</v>
      </c>
      <c r="C42" s="4" t="s">
        <v>107</v>
      </c>
      <c r="D42" s="4" t="s">
        <v>108</v>
      </c>
      <c r="E42" s="5">
        <v>26739</v>
      </c>
      <c r="F42" s="6" t="s">
        <v>32</v>
      </c>
      <c r="G42" s="4" t="s">
        <v>19</v>
      </c>
      <c r="H42" s="4" t="s">
        <v>38</v>
      </c>
      <c r="I42" s="4" t="s">
        <v>34</v>
      </c>
      <c r="J42" s="2">
        <v>58000</v>
      </c>
      <c r="M42" s="10" t="s">
        <v>79</v>
      </c>
      <c r="N42" s="20">
        <f>COUNTIFS(Department,$M42,Region,N$33)</f>
        <v>0</v>
      </c>
      <c r="O42" s="20">
        <f>COUNTIFS(Department,$M42,Region,O$33)</f>
        <v>2</v>
      </c>
      <c r="P42" s="20">
        <f>COUNTIFS(Department,$M42,Region,P$33)</f>
        <v>0</v>
      </c>
      <c r="Q42" s="20">
        <f>COUNTIFS(Department,$M42,Region,Q$33)</f>
        <v>0</v>
      </c>
    </row>
    <row r="43" spans="2:17" x14ac:dyDescent="0.3">
      <c r="B43" s="3">
        <v>150982</v>
      </c>
      <c r="C43" s="4" t="s">
        <v>109</v>
      </c>
      <c r="D43" s="4" t="s">
        <v>110</v>
      </c>
      <c r="E43" s="5">
        <v>35574</v>
      </c>
      <c r="F43" s="6" t="s">
        <v>32</v>
      </c>
      <c r="G43" s="4" t="s">
        <v>19</v>
      </c>
      <c r="H43" s="4" t="s">
        <v>38</v>
      </c>
      <c r="I43" s="4" t="s">
        <v>46</v>
      </c>
      <c r="J43" s="2">
        <v>47000</v>
      </c>
      <c r="M43" s="10" t="s">
        <v>82</v>
      </c>
      <c r="N43" s="20">
        <f>COUNTIFS(Department,$M43,Region,N$33)</f>
        <v>1</v>
      </c>
      <c r="O43" s="20">
        <f>COUNTIFS(Department,$M43,Region,O$33)</f>
        <v>1</v>
      </c>
      <c r="P43" s="20">
        <f>COUNTIFS(Department,$M43,Region,P$33)</f>
        <v>1</v>
      </c>
      <c r="Q43" s="20">
        <f>COUNTIFS(Department,$M43,Region,Q$33)</f>
        <v>0</v>
      </c>
    </row>
    <row r="44" spans="2:17" x14ac:dyDescent="0.3">
      <c r="B44" s="3">
        <v>150821</v>
      </c>
      <c r="C44" s="4" t="s">
        <v>111</v>
      </c>
      <c r="D44" s="4" t="s">
        <v>112</v>
      </c>
      <c r="E44" s="5">
        <v>29966</v>
      </c>
      <c r="F44" s="6" t="s">
        <v>32</v>
      </c>
      <c r="G44" s="4" t="s">
        <v>25</v>
      </c>
      <c r="H44" s="4" t="s">
        <v>65</v>
      </c>
      <c r="I44" s="4" t="s">
        <v>21</v>
      </c>
      <c r="J44" s="2">
        <v>26000</v>
      </c>
      <c r="M44" s="10" t="s">
        <v>93</v>
      </c>
      <c r="N44" s="20">
        <f>COUNTIFS(Department,$M44,Region,N$33)</f>
        <v>1</v>
      </c>
      <c r="O44" s="20">
        <f>COUNTIFS(Department,$M44,Region,O$33)</f>
        <v>2</v>
      </c>
      <c r="P44" s="20">
        <f>COUNTIFS(Department,$M44,Region,P$33)</f>
        <v>0</v>
      </c>
      <c r="Q44" s="20">
        <f>COUNTIFS(Department,$M44,Region,Q$33)</f>
        <v>0</v>
      </c>
    </row>
  </sheetData>
  <mergeCells count="6">
    <mergeCell ref="M32:Q32"/>
    <mergeCell ref="M18:Q18"/>
    <mergeCell ref="C2:J2"/>
    <mergeCell ref="M2:N2"/>
    <mergeCell ref="C3:J3"/>
    <mergeCell ref="M10:N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3BDA-381D-45B3-9E4E-05F9CD6F2B4D}">
  <dimension ref="B2:R46"/>
  <sheetViews>
    <sheetView topLeftCell="B1" zoomScale="189" zoomScaleNormal="189"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3" max="3" width="11" customWidth="1"/>
    <col min="4" max="4" width="10.6640625" customWidth="1"/>
    <col min="5" max="5" width="10.21875" customWidth="1"/>
    <col min="7" max="7" width="10.21875" customWidth="1"/>
    <col min="8" max="8" width="12.5546875" customWidth="1"/>
    <col min="10" max="10" width="12.109375" customWidth="1"/>
    <col min="12" max="12" width="15" customWidth="1"/>
    <col min="13" max="13" width="11" customWidth="1"/>
    <col min="14" max="14" width="17" customWidth="1"/>
  </cols>
  <sheetData>
    <row r="2" spans="2:18" ht="15" x14ac:dyDescent="0.35">
      <c r="B2" s="11">
        <v>1</v>
      </c>
      <c r="C2" s="44" t="s">
        <v>113</v>
      </c>
      <c r="D2" s="44"/>
      <c r="E2" s="44"/>
      <c r="F2" s="44"/>
      <c r="G2" s="44"/>
      <c r="H2" s="44"/>
      <c r="L2" s="22"/>
    </row>
    <row r="3" spans="2:18" x14ac:dyDescent="0.3">
      <c r="B3" s="11">
        <v>2</v>
      </c>
      <c r="C3" s="44" t="s">
        <v>114</v>
      </c>
      <c r="D3" s="44"/>
      <c r="E3" s="44"/>
      <c r="F3" s="44"/>
      <c r="G3" s="44"/>
      <c r="H3" s="44"/>
    </row>
    <row r="4" spans="2:18" x14ac:dyDescent="0.3">
      <c r="B4" s="11">
        <v>3</v>
      </c>
      <c r="C4" s="44" t="s">
        <v>115</v>
      </c>
      <c r="D4" s="44"/>
      <c r="E4" s="44"/>
      <c r="F4" s="44"/>
      <c r="G4" s="44"/>
      <c r="H4" s="44"/>
    </row>
    <row r="5" spans="2:18" x14ac:dyDescent="0.3">
      <c r="B5" s="11">
        <v>4</v>
      </c>
      <c r="C5" s="44" t="s">
        <v>116</v>
      </c>
      <c r="D5" s="44"/>
      <c r="E5" s="44"/>
      <c r="F5" s="44"/>
      <c r="G5" s="44"/>
      <c r="H5" s="44"/>
    </row>
    <row r="6" spans="2:18" x14ac:dyDescent="0.3">
      <c r="B6" s="11">
        <v>5</v>
      </c>
      <c r="C6" s="44" t="s">
        <v>117</v>
      </c>
      <c r="D6" s="44"/>
      <c r="E6" s="44"/>
      <c r="F6" s="44"/>
      <c r="G6" s="44"/>
      <c r="H6" s="44"/>
    </row>
    <row r="7" spans="2:18" x14ac:dyDescent="0.3">
      <c r="K7" t="s">
        <v>118</v>
      </c>
      <c r="L7" t="s">
        <v>119</v>
      </c>
      <c r="M7" t="s">
        <v>120</v>
      </c>
      <c r="N7" t="s">
        <v>121</v>
      </c>
      <c r="O7" t="s">
        <v>122</v>
      </c>
    </row>
    <row r="8" spans="2:18" x14ac:dyDescent="0.3">
      <c r="B8" s="25" t="s">
        <v>6</v>
      </c>
      <c r="C8" s="26" t="s">
        <v>7</v>
      </c>
      <c r="D8" s="26" t="s">
        <v>8</v>
      </c>
      <c r="E8" s="26" t="s">
        <v>9</v>
      </c>
      <c r="F8" s="26" t="s">
        <v>10</v>
      </c>
      <c r="G8" s="26" t="s">
        <v>11</v>
      </c>
      <c r="H8" s="26" t="s">
        <v>12</v>
      </c>
      <c r="I8" s="26" t="s">
        <v>13</v>
      </c>
      <c r="J8" s="26" t="s">
        <v>14</v>
      </c>
      <c r="K8" s="27" t="s">
        <v>123</v>
      </c>
      <c r="L8" s="27" t="s">
        <v>124</v>
      </c>
      <c r="M8" s="27" t="s">
        <v>125</v>
      </c>
      <c r="N8" s="27" t="s">
        <v>126</v>
      </c>
      <c r="O8" s="28" t="s">
        <v>127</v>
      </c>
    </row>
    <row r="9" spans="2:18" x14ac:dyDescent="0.3">
      <c r="B9" s="23">
        <v>150834</v>
      </c>
      <c r="C9" s="13" t="s">
        <v>16</v>
      </c>
      <c r="D9" s="13" t="s">
        <v>17</v>
      </c>
      <c r="E9" s="14">
        <v>31199</v>
      </c>
      <c r="F9" s="12" t="s">
        <v>18</v>
      </c>
      <c r="G9" s="13" t="s">
        <v>19</v>
      </c>
      <c r="H9" s="13" t="s">
        <v>20</v>
      </c>
      <c r="I9" s="13" t="s">
        <v>21</v>
      </c>
      <c r="J9" s="8">
        <v>48000</v>
      </c>
      <c r="K9" s="18">
        <f>mydata[[#This Row],[Basic Salary]]*45/100</f>
        <v>21600</v>
      </c>
      <c r="L9" s="18">
        <f>mydata[[#This Row],[Basic Salary]]*5/100+1000</f>
        <v>3400</v>
      </c>
      <c r="M9" s="18">
        <f>mydata[[#This Row],[Basic Salary]]+mydata[[#This Row],[1]]+mydata[[#This Row],[2]]</f>
        <v>73000</v>
      </c>
      <c r="N9" s="18">
        <f>mydata[[#This Row],[3]]*5/100</f>
        <v>3650</v>
      </c>
      <c r="O9" s="24">
        <f>mydata[[#This Row],[3]]-mydata[[#This Row],[4]]</f>
        <v>69350</v>
      </c>
    </row>
    <row r="10" spans="2:18" x14ac:dyDescent="0.3">
      <c r="B10" s="23">
        <v>150784</v>
      </c>
      <c r="C10" s="13" t="s">
        <v>23</v>
      </c>
      <c r="D10" s="13" t="s">
        <v>24</v>
      </c>
      <c r="E10" s="14">
        <v>28365</v>
      </c>
      <c r="F10" s="12" t="s">
        <v>18</v>
      </c>
      <c r="G10" s="13" t="s">
        <v>25</v>
      </c>
      <c r="H10" s="13" t="s">
        <v>26</v>
      </c>
      <c r="I10" s="13" t="s">
        <v>21</v>
      </c>
      <c r="J10" s="8">
        <v>35000</v>
      </c>
      <c r="K10" s="18">
        <f>mydata[[#This Row],[Basic Salary]]*45/100</f>
        <v>15750</v>
      </c>
      <c r="L10" s="18">
        <f>mydata[[#This Row],[Basic Salary]]*5/100+1000</f>
        <v>2750</v>
      </c>
      <c r="M10" s="18">
        <f>mydata[[#This Row],[Basic Salary]]+mydata[[#This Row],[1]]+mydata[[#This Row],[2]]</f>
        <v>53500</v>
      </c>
      <c r="N10" s="18">
        <f>mydata[[#This Row],[3]]*5/100</f>
        <v>2675</v>
      </c>
      <c r="O10" s="24">
        <f>M10:M47-N10:N47</f>
        <v>50825</v>
      </c>
    </row>
    <row r="11" spans="2:18" ht="15" x14ac:dyDescent="0.35">
      <c r="B11" s="23">
        <v>150791</v>
      </c>
      <c r="C11" s="13" t="s">
        <v>28</v>
      </c>
      <c r="D11" s="13" t="s">
        <v>29</v>
      </c>
      <c r="E11" s="14">
        <v>23346</v>
      </c>
      <c r="F11" s="12" t="s">
        <v>18</v>
      </c>
      <c r="G11" s="13" t="s">
        <v>19</v>
      </c>
      <c r="H11" s="13" t="s">
        <v>26</v>
      </c>
      <c r="I11" s="13" t="s">
        <v>21</v>
      </c>
      <c r="J11" s="8">
        <v>67000</v>
      </c>
      <c r="K11" s="18">
        <f>mydata[[#This Row],[Basic Salary]]*45/100</f>
        <v>30150</v>
      </c>
      <c r="L11" s="18">
        <f>mydata[[#This Row],[Basic Salary]]*5/100+1000</f>
        <v>4350</v>
      </c>
      <c r="M11" s="18">
        <f>mydata[[#This Row],[Basic Salary]]+mydata[[#This Row],[1]]+mydata[[#This Row],[2]]</f>
        <v>101500</v>
      </c>
      <c r="N11" s="18">
        <f>mydata[[#This Row],[3]]*5/100</f>
        <v>5075</v>
      </c>
      <c r="O11" s="24">
        <f t="shared" ref="O11:O46" si="0">M11:M48-N11:N48</f>
        <v>96425</v>
      </c>
      <c r="R11" s="22"/>
    </row>
    <row r="12" spans="2:18" x14ac:dyDescent="0.3">
      <c r="B12" s="23">
        <v>150940</v>
      </c>
      <c r="C12" s="13" t="s">
        <v>30</v>
      </c>
      <c r="D12" s="13" t="s">
        <v>31</v>
      </c>
      <c r="E12" s="14">
        <v>26906</v>
      </c>
      <c r="F12" s="12" t="s">
        <v>32</v>
      </c>
      <c r="G12" s="13" t="s">
        <v>25</v>
      </c>
      <c r="H12" s="13" t="s">
        <v>33</v>
      </c>
      <c r="I12" s="13" t="s">
        <v>34</v>
      </c>
      <c r="J12" s="8">
        <v>87000</v>
      </c>
      <c r="K12" s="18">
        <f>mydata[[#This Row],[Basic Salary]]*45/100</f>
        <v>39150</v>
      </c>
      <c r="L12" s="18">
        <f>mydata[[#This Row],[Basic Salary]]*5/100+1000</f>
        <v>5350</v>
      </c>
      <c r="M12" s="18">
        <f>mydata[[#This Row],[Basic Salary]]+mydata[[#This Row],[1]]+mydata[[#This Row],[2]]</f>
        <v>131500</v>
      </c>
      <c r="N12" s="18">
        <f>mydata[[#This Row],[3]]*5/100</f>
        <v>6575</v>
      </c>
      <c r="O12" s="24">
        <f t="shared" si="0"/>
        <v>124925</v>
      </c>
    </row>
    <row r="13" spans="2:18" x14ac:dyDescent="0.3">
      <c r="B13" s="23">
        <v>150777</v>
      </c>
      <c r="C13" s="13" t="s">
        <v>36</v>
      </c>
      <c r="D13" s="13" t="s">
        <v>37</v>
      </c>
      <c r="E13" s="14">
        <v>21123</v>
      </c>
      <c r="F13" s="12" t="s">
        <v>32</v>
      </c>
      <c r="G13" s="13" t="s">
        <v>19</v>
      </c>
      <c r="H13" s="13" t="s">
        <v>38</v>
      </c>
      <c r="I13" s="13" t="s">
        <v>21</v>
      </c>
      <c r="J13" s="8">
        <v>22000</v>
      </c>
      <c r="K13" s="18">
        <f>mydata[[#This Row],[Basic Salary]]*45/100</f>
        <v>9900</v>
      </c>
      <c r="L13" s="18">
        <f>mydata[[#This Row],[Basic Salary]]*5/100+1000</f>
        <v>2100</v>
      </c>
      <c r="M13" s="18">
        <f>mydata[[#This Row],[Basic Salary]]+mydata[[#This Row],[1]]+mydata[[#This Row],[2]]</f>
        <v>34000</v>
      </c>
      <c r="N13" s="18">
        <f>mydata[[#This Row],[3]]*5/100</f>
        <v>1700</v>
      </c>
      <c r="O13" s="24">
        <f t="shared" si="0"/>
        <v>32300</v>
      </c>
    </row>
    <row r="14" spans="2:18" x14ac:dyDescent="0.3">
      <c r="B14" s="23">
        <v>150805</v>
      </c>
      <c r="C14" s="13" t="s">
        <v>28</v>
      </c>
      <c r="D14" s="13" t="s">
        <v>40</v>
      </c>
      <c r="E14" s="14">
        <v>26172</v>
      </c>
      <c r="F14" s="12" t="s">
        <v>32</v>
      </c>
      <c r="G14" s="13" t="s">
        <v>19</v>
      </c>
      <c r="H14" s="13" t="s">
        <v>41</v>
      </c>
      <c r="I14" s="13" t="s">
        <v>21</v>
      </c>
      <c r="J14" s="8">
        <v>91000</v>
      </c>
      <c r="K14" s="18">
        <f>mydata[[#This Row],[Basic Salary]]*45/100</f>
        <v>40950</v>
      </c>
      <c r="L14" s="18">
        <f>mydata[[#This Row],[Basic Salary]]*5/100+1000</f>
        <v>5550</v>
      </c>
      <c r="M14" s="18">
        <f>mydata[[#This Row],[Basic Salary]]+mydata[[#This Row],[1]]+mydata[[#This Row],[2]]</f>
        <v>137500</v>
      </c>
      <c r="N14" s="18">
        <f>mydata[[#This Row],[3]]*5/100</f>
        <v>6875</v>
      </c>
      <c r="O14" s="24">
        <f t="shared" si="0"/>
        <v>130625</v>
      </c>
    </row>
    <row r="15" spans="2:18" x14ac:dyDescent="0.3">
      <c r="B15" s="23">
        <v>150990</v>
      </c>
      <c r="C15" s="13" t="s">
        <v>43</v>
      </c>
      <c r="D15" s="13" t="s">
        <v>44</v>
      </c>
      <c r="E15" s="14">
        <v>36400</v>
      </c>
      <c r="F15" s="12" t="s">
        <v>32</v>
      </c>
      <c r="G15" s="13" t="s">
        <v>19</v>
      </c>
      <c r="H15" s="13" t="s">
        <v>45</v>
      </c>
      <c r="I15" s="13" t="s">
        <v>46</v>
      </c>
      <c r="J15" s="8">
        <v>77000</v>
      </c>
      <c r="K15" s="18">
        <f>mydata[[#This Row],[Basic Salary]]*45/100</f>
        <v>34650</v>
      </c>
      <c r="L15" s="18">
        <f>mydata[[#This Row],[Basic Salary]]*5/100+1000</f>
        <v>4850</v>
      </c>
      <c r="M15" s="18">
        <f>mydata[[#This Row],[Basic Salary]]+mydata[[#This Row],[1]]+mydata[[#This Row],[2]]</f>
        <v>116500</v>
      </c>
      <c r="N15" s="18">
        <f>mydata[[#This Row],[3]]*5/100</f>
        <v>5825</v>
      </c>
      <c r="O15" s="24">
        <f t="shared" si="0"/>
        <v>110675</v>
      </c>
    </row>
    <row r="16" spans="2:18" x14ac:dyDescent="0.3">
      <c r="B16" s="23">
        <v>150989</v>
      </c>
      <c r="C16" s="13" t="s">
        <v>48</v>
      </c>
      <c r="D16" s="13" t="s">
        <v>44</v>
      </c>
      <c r="E16" s="14">
        <v>33113</v>
      </c>
      <c r="F16" s="12" t="s">
        <v>32</v>
      </c>
      <c r="G16" s="13" t="s">
        <v>19</v>
      </c>
      <c r="H16" s="13" t="s">
        <v>26</v>
      </c>
      <c r="I16" s="13" t="s">
        <v>46</v>
      </c>
      <c r="J16" s="8">
        <v>45000</v>
      </c>
      <c r="K16" s="18">
        <f>mydata[[#This Row],[Basic Salary]]*45/100</f>
        <v>20250</v>
      </c>
      <c r="L16" s="18">
        <f>mydata[[#This Row],[Basic Salary]]*5/100+1000</f>
        <v>3250</v>
      </c>
      <c r="M16" s="18">
        <f>mydata[[#This Row],[Basic Salary]]+mydata[[#This Row],[1]]+mydata[[#This Row],[2]]</f>
        <v>68500</v>
      </c>
      <c r="N16" s="18">
        <f>mydata[[#This Row],[3]]*5/100</f>
        <v>3425</v>
      </c>
      <c r="O16" s="24">
        <f t="shared" si="0"/>
        <v>65075</v>
      </c>
    </row>
    <row r="17" spans="2:15" x14ac:dyDescent="0.3">
      <c r="B17" s="23">
        <v>150881</v>
      </c>
      <c r="C17" s="13" t="s">
        <v>50</v>
      </c>
      <c r="D17" s="13" t="s">
        <v>51</v>
      </c>
      <c r="E17" s="14">
        <v>30337</v>
      </c>
      <c r="F17" s="12" t="s">
        <v>32</v>
      </c>
      <c r="G17" s="13" t="s">
        <v>25</v>
      </c>
      <c r="H17" s="13" t="s">
        <v>26</v>
      </c>
      <c r="I17" s="13" t="s">
        <v>52</v>
      </c>
      <c r="J17" s="8">
        <v>92000</v>
      </c>
      <c r="K17" s="18">
        <f>mydata[[#This Row],[Basic Salary]]*45/100</f>
        <v>41400</v>
      </c>
      <c r="L17" s="18">
        <f>mydata[[#This Row],[Basic Salary]]*5/100+1000</f>
        <v>5600</v>
      </c>
      <c r="M17" s="18">
        <f>mydata[[#This Row],[Basic Salary]]+mydata[[#This Row],[1]]+mydata[[#This Row],[2]]</f>
        <v>139000</v>
      </c>
      <c r="N17" s="18">
        <f>mydata[[#This Row],[3]]*5/100</f>
        <v>6950</v>
      </c>
      <c r="O17" s="24">
        <f t="shared" si="0"/>
        <v>132050</v>
      </c>
    </row>
    <row r="18" spans="2:15" x14ac:dyDescent="0.3">
      <c r="B18" s="23">
        <v>150814</v>
      </c>
      <c r="C18" s="13" t="s">
        <v>54</v>
      </c>
      <c r="D18" s="13" t="s">
        <v>55</v>
      </c>
      <c r="E18" s="14">
        <v>26246</v>
      </c>
      <c r="F18" s="12" t="s">
        <v>32</v>
      </c>
      <c r="G18" s="13" t="s">
        <v>19</v>
      </c>
      <c r="H18" s="13" t="s">
        <v>33</v>
      </c>
      <c r="I18" s="13" t="s">
        <v>21</v>
      </c>
      <c r="J18" s="8">
        <v>50000</v>
      </c>
      <c r="K18" s="18">
        <f>mydata[[#This Row],[Basic Salary]]*45/100</f>
        <v>22500</v>
      </c>
      <c r="L18" s="18">
        <f>mydata[[#This Row],[Basic Salary]]*5/100+1000</f>
        <v>3500</v>
      </c>
      <c r="M18" s="18">
        <f>mydata[[#This Row],[Basic Salary]]+mydata[[#This Row],[1]]+mydata[[#This Row],[2]]</f>
        <v>76000</v>
      </c>
      <c r="N18" s="18">
        <f>mydata[[#This Row],[3]]*5/100</f>
        <v>3800</v>
      </c>
      <c r="O18" s="24">
        <f t="shared" si="0"/>
        <v>72200</v>
      </c>
    </row>
    <row r="19" spans="2:15" x14ac:dyDescent="0.3">
      <c r="B19" s="23">
        <v>150937</v>
      </c>
      <c r="C19" s="13" t="s">
        <v>57</v>
      </c>
      <c r="D19" s="13" t="s">
        <v>58</v>
      </c>
      <c r="E19" s="14">
        <v>24700</v>
      </c>
      <c r="F19" s="12" t="s">
        <v>32</v>
      </c>
      <c r="G19" s="13" t="s">
        <v>19</v>
      </c>
      <c r="H19" s="13" t="s">
        <v>45</v>
      </c>
      <c r="I19" s="13" t="s">
        <v>34</v>
      </c>
      <c r="J19" s="8">
        <v>37000</v>
      </c>
      <c r="K19" s="18">
        <f>mydata[[#This Row],[Basic Salary]]*45/100</f>
        <v>16650</v>
      </c>
      <c r="L19" s="18">
        <f>mydata[[#This Row],[Basic Salary]]*5/100+1000</f>
        <v>2850</v>
      </c>
      <c r="M19" s="18">
        <f>mydata[[#This Row],[Basic Salary]]+mydata[[#This Row],[1]]+mydata[[#This Row],[2]]</f>
        <v>56500</v>
      </c>
      <c r="N19" s="18">
        <f>mydata[[#This Row],[3]]*5/100</f>
        <v>2825</v>
      </c>
      <c r="O19" s="24">
        <f t="shared" si="0"/>
        <v>53675</v>
      </c>
    </row>
    <row r="20" spans="2:15" x14ac:dyDescent="0.3">
      <c r="B20" s="23">
        <v>150888</v>
      </c>
      <c r="C20" s="13" t="s">
        <v>59</v>
      </c>
      <c r="D20" s="13" t="s">
        <v>60</v>
      </c>
      <c r="E20" s="14">
        <v>29221</v>
      </c>
      <c r="F20" s="12" t="s">
        <v>32</v>
      </c>
      <c r="G20" s="13" t="s">
        <v>19</v>
      </c>
      <c r="H20" s="13" t="s">
        <v>45</v>
      </c>
      <c r="I20" s="13" t="s">
        <v>52</v>
      </c>
      <c r="J20" s="8">
        <v>43000</v>
      </c>
      <c r="K20" s="18">
        <f>mydata[[#This Row],[Basic Salary]]*45/100</f>
        <v>19350</v>
      </c>
      <c r="L20" s="18">
        <f>mydata[[#This Row],[Basic Salary]]*5/100+1000</f>
        <v>3150</v>
      </c>
      <c r="M20" s="18">
        <f>mydata[[#This Row],[Basic Salary]]+mydata[[#This Row],[1]]+mydata[[#This Row],[2]]</f>
        <v>65500</v>
      </c>
      <c r="N20" s="18">
        <f>mydata[[#This Row],[3]]*5/100</f>
        <v>3275</v>
      </c>
      <c r="O20" s="24">
        <f t="shared" si="0"/>
        <v>62225</v>
      </c>
    </row>
    <row r="21" spans="2:15" x14ac:dyDescent="0.3">
      <c r="B21" s="23">
        <v>150865</v>
      </c>
      <c r="C21" s="13" t="s">
        <v>61</v>
      </c>
      <c r="D21" s="13" t="s">
        <v>60</v>
      </c>
      <c r="E21" s="14">
        <v>31279</v>
      </c>
      <c r="F21" s="12" t="s">
        <v>18</v>
      </c>
      <c r="G21" s="13" t="s">
        <v>19</v>
      </c>
      <c r="H21" s="13" t="s">
        <v>62</v>
      </c>
      <c r="I21" s="13" t="s">
        <v>52</v>
      </c>
      <c r="J21" s="8">
        <v>90000</v>
      </c>
      <c r="K21" s="18">
        <f>mydata[[#This Row],[Basic Salary]]*45/100</f>
        <v>40500</v>
      </c>
      <c r="L21" s="18">
        <f>mydata[[#This Row],[Basic Salary]]*5/100+1000</f>
        <v>5500</v>
      </c>
      <c r="M21" s="18">
        <f>mydata[[#This Row],[Basic Salary]]+mydata[[#This Row],[1]]+mydata[[#This Row],[2]]</f>
        <v>136000</v>
      </c>
      <c r="N21" s="18">
        <f>mydata[[#This Row],[3]]*5/100</f>
        <v>6800</v>
      </c>
      <c r="O21" s="24">
        <f t="shared" si="0"/>
        <v>129200</v>
      </c>
    </row>
    <row r="22" spans="2:15" x14ac:dyDescent="0.3">
      <c r="B22" s="23">
        <v>150858</v>
      </c>
      <c r="C22" s="13" t="s">
        <v>63</v>
      </c>
      <c r="D22" s="13" t="s">
        <v>64</v>
      </c>
      <c r="E22" s="14">
        <v>34846</v>
      </c>
      <c r="F22" s="12" t="s">
        <v>32</v>
      </c>
      <c r="G22" s="13" t="s">
        <v>19</v>
      </c>
      <c r="H22" s="13" t="s">
        <v>65</v>
      </c>
      <c r="I22" s="13" t="s">
        <v>52</v>
      </c>
      <c r="J22" s="8">
        <v>34000</v>
      </c>
      <c r="K22" s="18">
        <f>mydata[[#This Row],[Basic Salary]]*45/100</f>
        <v>15300</v>
      </c>
      <c r="L22" s="18">
        <f>mydata[[#This Row],[Basic Salary]]*5/100+1000</f>
        <v>2700</v>
      </c>
      <c r="M22" s="18">
        <f>mydata[[#This Row],[Basic Salary]]+mydata[[#This Row],[1]]+mydata[[#This Row],[2]]</f>
        <v>52000</v>
      </c>
      <c r="N22" s="18">
        <f>mydata[[#This Row],[3]]*5/100</f>
        <v>2600</v>
      </c>
      <c r="O22" s="24">
        <f t="shared" si="0"/>
        <v>49400</v>
      </c>
    </row>
    <row r="23" spans="2:15" x14ac:dyDescent="0.3">
      <c r="B23" s="23">
        <v>150930</v>
      </c>
      <c r="C23" s="13" t="s">
        <v>66</v>
      </c>
      <c r="D23" s="13" t="s">
        <v>67</v>
      </c>
      <c r="E23" s="14">
        <v>37027</v>
      </c>
      <c r="F23" s="12" t="s">
        <v>32</v>
      </c>
      <c r="G23" s="13" t="s">
        <v>19</v>
      </c>
      <c r="H23" s="13" t="s">
        <v>26</v>
      </c>
      <c r="I23" s="13" t="s">
        <v>34</v>
      </c>
      <c r="J23" s="8">
        <v>82000</v>
      </c>
      <c r="K23" s="18">
        <f>mydata[[#This Row],[Basic Salary]]*45/100</f>
        <v>36900</v>
      </c>
      <c r="L23" s="18">
        <f>mydata[[#This Row],[Basic Salary]]*5/100+1000</f>
        <v>5100</v>
      </c>
      <c r="M23" s="18">
        <f>mydata[[#This Row],[Basic Salary]]+mydata[[#This Row],[1]]+mydata[[#This Row],[2]]</f>
        <v>124000</v>
      </c>
      <c r="N23" s="18">
        <f>mydata[[#This Row],[3]]*5/100</f>
        <v>6200</v>
      </c>
      <c r="O23" s="24">
        <f t="shared" si="0"/>
        <v>117800</v>
      </c>
    </row>
    <row r="24" spans="2:15" x14ac:dyDescent="0.3">
      <c r="B24" s="23">
        <v>150894</v>
      </c>
      <c r="C24" s="13" t="s">
        <v>69</v>
      </c>
      <c r="D24" s="13" t="s">
        <v>70</v>
      </c>
      <c r="E24" s="14">
        <v>37124</v>
      </c>
      <c r="F24" s="12" t="s">
        <v>32</v>
      </c>
      <c r="G24" s="13" t="s">
        <v>19</v>
      </c>
      <c r="H24" s="13" t="s">
        <v>33</v>
      </c>
      <c r="I24" s="13" t="s">
        <v>34</v>
      </c>
      <c r="J24" s="8">
        <v>67000</v>
      </c>
      <c r="K24" s="18">
        <f>mydata[[#This Row],[Basic Salary]]*45/100</f>
        <v>30150</v>
      </c>
      <c r="L24" s="18">
        <f>mydata[[#This Row],[Basic Salary]]*5/100+1000</f>
        <v>4350</v>
      </c>
      <c r="M24" s="18">
        <f>mydata[[#This Row],[Basic Salary]]+mydata[[#This Row],[1]]+mydata[[#This Row],[2]]</f>
        <v>101500</v>
      </c>
      <c r="N24" s="18">
        <f>mydata[[#This Row],[3]]*5/100</f>
        <v>5075</v>
      </c>
      <c r="O24" s="24">
        <f t="shared" si="0"/>
        <v>96425</v>
      </c>
    </row>
    <row r="25" spans="2:15" x14ac:dyDescent="0.3">
      <c r="B25" s="23">
        <v>150947</v>
      </c>
      <c r="C25" s="13" t="s">
        <v>71</v>
      </c>
      <c r="D25" s="13" t="s">
        <v>72</v>
      </c>
      <c r="E25" s="14">
        <v>33449</v>
      </c>
      <c r="F25" s="12" t="s">
        <v>18</v>
      </c>
      <c r="G25" s="13" t="s">
        <v>19</v>
      </c>
      <c r="H25" s="13" t="s">
        <v>65</v>
      </c>
      <c r="I25" s="13" t="s">
        <v>34</v>
      </c>
      <c r="J25" s="8">
        <v>85000</v>
      </c>
      <c r="K25" s="18">
        <f>mydata[[#This Row],[Basic Salary]]*45/100</f>
        <v>38250</v>
      </c>
      <c r="L25" s="18">
        <f>mydata[[#This Row],[Basic Salary]]*5/100+1000</f>
        <v>5250</v>
      </c>
      <c r="M25" s="18">
        <f>mydata[[#This Row],[Basic Salary]]+mydata[[#This Row],[1]]+mydata[[#This Row],[2]]</f>
        <v>128500</v>
      </c>
      <c r="N25" s="18">
        <f>mydata[[#This Row],[3]]*5/100</f>
        <v>6425</v>
      </c>
      <c r="O25" s="24">
        <f t="shared" si="0"/>
        <v>122075</v>
      </c>
    </row>
    <row r="26" spans="2:15" x14ac:dyDescent="0.3">
      <c r="B26" s="23">
        <v>150905</v>
      </c>
      <c r="C26" s="13" t="s">
        <v>73</v>
      </c>
      <c r="D26" s="13" t="s">
        <v>74</v>
      </c>
      <c r="E26" s="14">
        <v>30819</v>
      </c>
      <c r="F26" s="12" t="s">
        <v>18</v>
      </c>
      <c r="G26" s="13" t="s">
        <v>25</v>
      </c>
      <c r="H26" s="13" t="s">
        <v>20</v>
      </c>
      <c r="I26" s="13" t="s">
        <v>34</v>
      </c>
      <c r="J26" s="8">
        <v>62000</v>
      </c>
      <c r="K26" s="18">
        <f>mydata[[#This Row],[Basic Salary]]*45/100</f>
        <v>27900</v>
      </c>
      <c r="L26" s="18">
        <f>mydata[[#This Row],[Basic Salary]]*5/100+1000</f>
        <v>4100</v>
      </c>
      <c r="M26" s="18">
        <f>mydata[[#This Row],[Basic Salary]]+mydata[[#This Row],[1]]+mydata[[#This Row],[2]]</f>
        <v>94000</v>
      </c>
      <c r="N26" s="18">
        <f>mydata[[#This Row],[3]]*5/100</f>
        <v>4700</v>
      </c>
      <c r="O26" s="24">
        <f t="shared" si="0"/>
        <v>89300</v>
      </c>
    </row>
    <row r="27" spans="2:15" x14ac:dyDescent="0.3">
      <c r="B27" s="23">
        <v>150995</v>
      </c>
      <c r="C27" s="13" t="s">
        <v>75</v>
      </c>
      <c r="D27" s="13" t="s">
        <v>76</v>
      </c>
      <c r="E27" s="14">
        <v>35330</v>
      </c>
      <c r="F27" s="12" t="s">
        <v>32</v>
      </c>
      <c r="G27" s="13" t="s">
        <v>19</v>
      </c>
      <c r="H27" s="13" t="s">
        <v>33</v>
      </c>
      <c r="I27" s="13" t="s">
        <v>46</v>
      </c>
      <c r="J27" s="8">
        <v>15000</v>
      </c>
      <c r="K27" s="18">
        <f>mydata[[#This Row],[Basic Salary]]*45/100</f>
        <v>6750</v>
      </c>
      <c r="L27" s="18">
        <f>mydata[[#This Row],[Basic Salary]]*5/100+1000</f>
        <v>1750</v>
      </c>
      <c r="M27" s="18">
        <f>mydata[[#This Row],[Basic Salary]]+mydata[[#This Row],[1]]+mydata[[#This Row],[2]]</f>
        <v>23500</v>
      </c>
      <c r="N27" s="18">
        <f>mydata[[#This Row],[3]]*5/100</f>
        <v>1175</v>
      </c>
      <c r="O27" s="24">
        <f t="shared" si="0"/>
        <v>22325</v>
      </c>
    </row>
    <row r="28" spans="2:15" x14ac:dyDescent="0.3">
      <c r="B28" s="23">
        <v>150912</v>
      </c>
      <c r="C28" s="13" t="s">
        <v>77</v>
      </c>
      <c r="D28" s="13" t="s">
        <v>78</v>
      </c>
      <c r="E28" s="14">
        <v>37629</v>
      </c>
      <c r="F28" s="12" t="s">
        <v>18</v>
      </c>
      <c r="G28" s="13" t="s">
        <v>19</v>
      </c>
      <c r="H28" s="13" t="s">
        <v>79</v>
      </c>
      <c r="I28" s="13" t="s">
        <v>34</v>
      </c>
      <c r="J28" s="8">
        <v>81000</v>
      </c>
      <c r="K28" s="18">
        <f>mydata[[#This Row],[Basic Salary]]*45/100</f>
        <v>36450</v>
      </c>
      <c r="L28" s="18">
        <f>mydata[[#This Row],[Basic Salary]]*5/100+1000</f>
        <v>5050</v>
      </c>
      <c r="M28" s="18">
        <f>mydata[[#This Row],[Basic Salary]]+mydata[[#This Row],[1]]+mydata[[#This Row],[2]]</f>
        <v>122500</v>
      </c>
      <c r="N28" s="18">
        <f>mydata[[#This Row],[3]]*5/100</f>
        <v>6125</v>
      </c>
      <c r="O28" s="24">
        <f t="shared" si="0"/>
        <v>116375</v>
      </c>
    </row>
    <row r="29" spans="2:15" x14ac:dyDescent="0.3">
      <c r="B29" s="23">
        <v>150921</v>
      </c>
      <c r="C29" s="13" t="s">
        <v>80</v>
      </c>
      <c r="D29" s="13" t="s">
        <v>81</v>
      </c>
      <c r="E29" s="14">
        <v>38092</v>
      </c>
      <c r="F29" s="12" t="s">
        <v>32</v>
      </c>
      <c r="G29" s="13" t="s">
        <v>19</v>
      </c>
      <c r="H29" s="13" t="s">
        <v>82</v>
      </c>
      <c r="I29" s="13" t="s">
        <v>34</v>
      </c>
      <c r="J29" s="8">
        <v>19000</v>
      </c>
      <c r="K29" s="18">
        <f>mydata[[#This Row],[Basic Salary]]*45/100</f>
        <v>8550</v>
      </c>
      <c r="L29" s="18">
        <f>mydata[[#This Row],[Basic Salary]]*5/100+1000</f>
        <v>1950</v>
      </c>
      <c r="M29" s="18">
        <f>mydata[[#This Row],[Basic Salary]]+mydata[[#This Row],[1]]+mydata[[#This Row],[2]]</f>
        <v>29500</v>
      </c>
      <c r="N29" s="18">
        <f>mydata[[#This Row],[3]]*5/100</f>
        <v>1475</v>
      </c>
      <c r="O29" s="24">
        <f t="shared" si="0"/>
        <v>28025</v>
      </c>
    </row>
    <row r="30" spans="2:15" x14ac:dyDescent="0.3">
      <c r="B30" s="23">
        <v>150851</v>
      </c>
      <c r="C30" s="13" t="s">
        <v>83</v>
      </c>
      <c r="D30" s="13" t="s">
        <v>84</v>
      </c>
      <c r="E30" s="14">
        <v>29368</v>
      </c>
      <c r="F30" s="12" t="s">
        <v>32</v>
      </c>
      <c r="G30" s="13" t="s">
        <v>25</v>
      </c>
      <c r="H30" s="13" t="s">
        <v>33</v>
      </c>
      <c r="I30" s="13" t="s">
        <v>52</v>
      </c>
      <c r="J30" s="8">
        <v>75000</v>
      </c>
      <c r="K30" s="18">
        <f>mydata[[#This Row],[Basic Salary]]*45/100</f>
        <v>33750</v>
      </c>
      <c r="L30" s="18">
        <f>mydata[[#This Row],[Basic Salary]]*5/100+1000</f>
        <v>4750</v>
      </c>
      <c r="M30" s="18">
        <f>mydata[[#This Row],[Basic Salary]]+mydata[[#This Row],[1]]+mydata[[#This Row],[2]]</f>
        <v>113500</v>
      </c>
      <c r="N30" s="18">
        <f>mydata[[#This Row],[3]]*5/100</f>
        <v>5675</v>
      </c>
      <c r="O30" s="24">
        <f t="shared" si="0"/>
        <v>107825</v>
      </c>
    </row>
    <row r="31" spans="2:15" x14ac:dyDescent="0.3">
      <c r="B31" s="23">
        <v>150867</v>
      </c>
      <c r="C31" s="13" t="s">
        <v>85</v>
      </c>
      <c r="D31" s="13" t="s">
        <v>86</v>
      </c>
      <c r="E31" s="14">
        <v>29028</v>
      </c>
      <c r="F31" s="12" t="s">
        <v>18</v>
      </c>
      <c r="G31" s="13" t="s">
        <v>25</v>
      </c>
      <c r="H31" s="13" t="s">
        <v>82</v>
      </c>
      <c r="I31" s="13" t="s">
        <v>52</v>
      </c>
      <c r="J31" s="8">
        <v>49000</v>
      </c>
      <c r="K31" s="18">
        <f>mydata[[#This Row],[Basic Salary]]*45/100</f>
        <v>22050</v>
      </c>
      <c r="L31" s="18">
        <f>mydata[[#This Row],[Basic Salary]]*5/100+1000</f>
        <v>3450</v>
      </c>
      <c r="M31" s="18">
        <f>mydata[[#This Row],[Basic Salary]]+mydata[[#This Row],[1]]+mydata[[#This Row],[2]]</f>
        <v>74500</v>
      </c>
      <c r="N31" s="18">
        <f>mydata[[#This Row],[3]]*5/100</f>
        <v>3725</v>
      </c>
      <c r="O31" s="24">
        <f t="shared" si="0"/>
        <v>70775</v>
      </c>
    </row>
    <row r="32" spans="2:15" x14ac:dyDescent="0.3">
      <c r="B32" s="23">
        <v>150899</v>
      </c>
      <c r="C32" s="13" t="s">
        <v>87</v>
      </c>
      <c r="D32" s="13" t="s">
        <v>88</v>
      </c>
      <c r="E32" s="14">
        <v>37400</v>
      </c>
      <c r="F32" s="12" t="s">
        <v>32</v>
      </c>
      <c r="G32" s="13" t="s">
        <v>19</v>
      </c>
      <c r="H32" s="13" t="s">
        <v>65</v>
      </c>
      <c r="I32" s="13" t="s">
        <v>34</v>
      </c>
      <c r="J32" s="8">
        <v>50000</v>
      </c>
      <c r="K32" s="18">
        <f>mydata[[#This Row],[Basic Salary]]*45/100</f>
        <v>22500</v>
      </c>
      <c r="L32" s="18">
        <f>mydata[[#This Row],[Basic Salary]]*5/100+1000</f>
        <v>3500</v>
      </c>
      <c r="M32" s="18">
        <f>mydata[[#This Row],[Basic Salary]]+mydata[[#This Row],[1]]+mydata[[#This Row],[2]]</f>
        <v>76000</v>
      </c>
      <c r="N32" s="18">
        <f>mydata[[#This Row],[3]]*5/100</f>
        <v>3800</v>
      </c>
      <c r="O32" s="24">
        <f t="shared" si="0"/>
        <v>72200</v>
      </c>
    </row>
    <row r="33" spans="2:15" x14ac:dyDescent="0.3">
      <c r="B33" s="23">
        <v>150975</v>
      </c>
      <c r="C33" s="13" t="s">
        <v>89</v>
      </c>
      <c r="D33" s="13" t="s">
        <v>90</v>
      </c>
      <c r="E33" s="14">
        <v>31478</v>
      </c>
      <c r="F33" s="12" t="s">
        <v>32</v>
      </c>
      <c r="G33" s="13" t="s">
        <v>19</v>
      </c>
      <c r="H33" s="13" t="s">
        <v>82</v>
      </c>
      <c r="I33" s="13" t="s">
        <v>46</v>
      </c>
      <c r="J33" s="8">
        <v>83000</v>
      </c>
      <c r="K33" s="18">
        <f>mydata[[#This Row],[Basic Salary]]*45/100</f>
        <v>37350</v>
      </c>
      <c r="L33" s="18">
        <f>mydata[[#This Row],[Basic Salary]]*5/100+1000</f>
        <v>5150</v>
      </c>
      <c r="M33" s="18">
        <f>mydata[[#This Row],[Basic Salary]]+mydata[[#This Row],[1]]+mydata[[#This Row],[2]]</f>
        <v>125500</v>
      </c>
      <c r="N33" s="18">
        <f>mydata[[#This Row],[3]]*5/100</f>
        <v>6275</v>
      </c>
      <c r="O33" s="24">
        <f t="shared" si="0"/>
        <v>119225</v>
      </c>
    </row>
    <row r="34" spans="2:15" x14ac:dyDescent="0.3">
      <c r="B34" s="23">
        <v>150901</v>
      </c>
      <c r="C34" s="13" t="s">
        <v>91</v>
      </c>
      <c r="D34" s="13" t="s">
        <v>92</v>
      </c>
      <c r="E34" s="14">
        <v>32946</v>
      </c>
      <c r="F34" s="12" t="s">
        <v>18</v>
      </c>
      <c r="G34" s="13" t="s">
        <v>19</v>
      </c>
      <c r="H34" s="13" t="s">
        <v>93</v>
      </c>
      <c r="I34" s="13" t="s">
        <v>34</v>
      </c>
      <c r="J34" s="8">
        <v>53000</v>
      </c>
      <c r="K34" s="18">
        <f>mydata[[#This Row],[Basic Salary]]*45/100</f>
        <v>23850</v>
      </c>
      <c r="L34" s="18">
        <f>mydata[[#This Row],[Basic Salary]]*5/100+1000</f>
        <v>3650</v>
      </c>
      <c r="M34" s="18">
        <f>mydata[[#This Row],[Basic Salary]]+mydata[[#This Row],[1]]+mydata[[#This Row],[2]]</f>
        <v>80500</v>
      </c>
      <c r="N34" s="18">
        <f>mydata[[#This Row],[3]]*5/100</f>
        <v>4025</v>
      </c>
      <c r="O34" s="24">
        <f t="shared" si="0"/>
        <v>76475</v>
      </c>
    </row>
    <row r="35" spans="2:15" x14ac:dyDescent="0.3">
      <c r="B35" s="23">
        <v>150968</v>
      </c>
      <c r="C35" s="13" t="s">
        <v>94</v>
      </c>
      <c r="D35" s="13" t="s">
        <v>95</v>
      </c>
      <c r="E35" s="14">
        <v>37208</v>
      </c>
      <c r="F35" s="12" t="s">
        <v>32</v>
      </c>
      <c r="G35" s="13" t="s">
        <v>19</v>
      </c>
      <c r="H35" s="13" t="s">
        <v>79</v>
      </c>
      <c r="I35" s="13" t="s">
        <v>34</v>
      </c>
      <c r="J35" s="8">
        <v>65000</v>
      </c>
      <c r="K35" s="18">
        <f>mydata[[#This Row],[Basic Salary]]*45/100</f>
        <v>29250</v>
      </c>
      <c r="L35" s="18">
        <f>mydata[[#This Row],[Basic Salary]]*5/100+1000</f>
        <v>4250</v>
      </c>
      <c r="M35" s="18">
        <f>mydata[[#This Row],[Basic Salary]]+mydata[[#This Row],[1]]+mydata[[#This Row],[2]]</f>
        <v>98500</v>
      </c>
      <c r="N35" s="18">
        <f>mydata[[#This Row],[3]]*5/100</f>
        <v>4925</v>
      </c>
      <c r="O35" s="24">
        <f t="shared" si="0"/>
        <v>93575</v>
      </c>
    </row>
    <row r="36" spans="2:15" x14ac:dyDescent="0.3">
      <c r="B36" s="23">
        <v>150773</v>
      </c>
      <c r="C36" s="13" t="s">
        <v>96</v>
      </c>
      <c r="D36" s="13" t="s">
        <v>97</v>
      </c>
      <c r="E36" s="14">
        <v>26860</v>
      </c>
      <c r="F36" s="12" t="s">
        <v>32</v>
      </c>
      <c r="G36" s="13" t="s">
        <v>19</v>
      </c>
      <c r="H36" s="13" t="s">
        <v>82</v>
      </c>
      <c r="I36" s="13" t="s">
        <v>21</v>
      </c>
      <c r="J36" s="8">
        <v>85000</v>
      </c>
      <c r="K36" s="18">
        <f>mydata[[#This Row],[Basic Salary]]*45/100</f>
        <v>38250</v>
      </c>
      <c r="L36" s="18">
        <f>mydata[[#This Row],[Basic Salary]]*5/100+1000</f>
        <v>5250</v>
      </c>
      <c r="M36" s="18">
        <f>mydata[[#This Row],[Basic Salary]]+mydata[[#This Row],[1]]+mydata[[#This Row],[2]]</f>
        <v>128500</v>
      </c>
      <c r="N36" s="18">
        <f>mydata[[#This Row],[3]]*5/100</f>
        <v>6425</v>
      </c>
      <c r="O36" s="24">
        <f t="shared" si="0"/>
        <v>122075</v>
      </c>
    </row>
    <row r="37" spans="2:15" x14ac:dyDescent="0.3">
      <c r="B37" s="23">
        <v>150840</v>
      </c>
      <c r="C37" s="13" t="s">
        <v>66</v>
      </c>
      <c r="D37" s="13" t="s">
        <v>98</v>
      </c>
      <c r="E37" s="14">
        <v>23136</v>
      </c>
      <c r="F37" s="12" t="s">
        <v>18</v>
      </c>
      <c r="G37" s="13" t="s">
        <v>19</v>
      </c>
      <c r="H37" s="13" t="s">
        <v>33</v>
      </c>
      <c r="I37" s="13" t="s">
        <v>52</v>
      </c>
      <c r="J37" s="8">
        <v>20000</v>
      </c>
      <c r="K37" s="18">
        <f>mydata[[#This Row],[Basic Salary]]*45/100</f>
        <v>9000</v>
      </c>
      <c r="L37" s="18">
        <f>mydata[[#This Row],[Basic Salary]]*5/100+1000</f>
        <v>2000</v>
      </c>
      <c r="M37" s="18">
        <f>mydata[[#This Row],[Basic Salary]]+mydata[[#This Row],[1]]+mydata[[#This Row],[2]]</f>
        <v>31000</v>
      </c>
      <c r="N37" s="18">
        <f>mydata[[#This Row],[3]]*5/100</f>
        <v>1550</v>
      </c>
      <c r="O37" s="24">
        <f t="shared" si="0"/>
        <v>29450</v>
      </c>
    </row>
    <row r="38" spans="2:15" x14ac:dyDescent="0.3">
      <c r="B38" s="23">
        <v>150850</v>
      </c>
      <c r="C38" s="13" t="s">
        <v>57</v>
      </c>
      <c r="D38" s="13" t="s">
        <v>99</v>
      </c>
      <c r="E38" s="14">
        <v>32027</v>
      </c>
      <c r="F38" s="12" t="s">
        <v>32</v>
      </c>
      <c r="G38" s="13" t="s">
        <v>19</v>
      </c>
      <c r="H38" s="13" t="s">
        <v>65</v>
      </c>
      <c r="I38" s="13" t="s">
        <v>52</v>
      </c>
      <c r="J38" s="8">
        <v>47000</v>
      </c>
      <c r="K38" s="18">
        <f>mydata[[#This Row],[Basic Salary]]*45/100</f>
        <v>21150</v>
      </c>
      <c r="L38" s="18">
        <f>mydata[[#This Row],[Basic Salary]]*5/100+1000</f>
        <v>3350</v>
      </c>
      <c r="M38" s="18">
        <f>mydata[[#This Row],[Basic Salary]]+mydata[[#This Row],[1]]+mydata[[#This Row],[2]]</f>
        <v>71500</v>
      </c>
      <c r="N38" s="18">
        <f>mydata[[#This Row],[3]]*5/100</f>
        <v>3575</v>
      </c>
      <c r="O38" s="24">
        <f t="shared" si="0"/>
        <v>67925</v>
      </c>
    </row>
    <row r="39" spans="2:15" x14ac:dyDescent="0.3">
      <c r="B39" s="23">
        <v>150962</v>
      </c>
      <c r="C39" s="13" t="s">
        <v>100</v>
      </c>
      <c r="D39" s="13" t="s">
        <v>101</v>
      </c>
      <c r="E39" s="14">
        <v>37773</v>
      </c>
      <c r="F39" s="12" t="s">
        <v>18</v>
      </c>
      <c r="G39" s="13" t="s">
        <v>19</v>
      </c>
      <c r="H39" s="13" t="s">
        <v>41</v>
      </c>
      <c r="I39" s="13" t="s">
        <v>34</v>
      </c>
      <c r="J39" s="8">
        <v>87000</v>
      </c>
      <c r="K39" s="18">
        <f>mydata[[#This Row],[Basic Salary]]*45/100</f>
        <v>39150</v>
      </c>
      <c r="L39" s="18">
        <f>mydata[[#This Row],[Basic Salary]]*5/100+1000</f>
        <v>5350</v>
      </c>
      <c r="M39" s="18">
        <f>mydata[[#This Row],[Basic Salary]]+mydata[[#This Row],[1]]+mydata[[#This Row],[2]]</f>
        <v>131500</v>
      </c>
      <c r="N39" s="18">
        <f>mydata[[#This Row],[3]]*5/100</f>
        <v>6575</v>
      </c>
      <c r="O39" s="24">
        <f t="shared" si="0"/>
        <v>124925</v>
      </c>
    </row>
    <row r="40" spans="2:15" x14ac:dyDescent="0.3">
      <c r="B40" s="23">
        <v>150954</v>
      </c>
      <c r="C40" s="13" t="s">
        <v>102</v>
      </c>
      <c r="D40" s="13" t="s">
        <v>101</v>
      </c>
      <c r="E40" s="14">
        <v>35495</v>
      </c>
      <c r="F40" s="12" t="s">
        <v>18</v>
      </c>
      <c r="G40" s="13" t="s">
        <v>19</v>
      </c>
      <c r="H40" s="13" t="s">
        <v>93</v>
      </c>
      <c r="I40" s="13" t="s">
        <v>34</v>
      </c>
      <c r="J40" s="8">
        <v>57000</v>
      </c>
      <c r="K40" s="18">
        <f>mydata[[#This Row],[Basic Salary]]*45/100</f>
        <v>25650</v>
      </c>
      <c r="L40" s="18">
        <f>mydata[[#This Row],[Basic Salary]]*5/100+1000</f>
        <v>3850</v>
      </c>
      <c r="M40" s="18">
        <f>mydata[[#This Row],[Basic Salary]]+mydata[[#This Row],[1]]+mydata[[#This Row],[2]]</f>
        <v>86500</v>
      </c>
      <c r="N40" s="18">
        <f>mydata[[#This Row],[3]]*5/100</f>
        <v>4325</v>
      </c>
      <c r="O40" s="24">
        <f t="shared" si="0"/>
        <v>82175</v>
      </c>
    </row>
    <row r="41" spans="2:15" x14ac:dyDescent="0.3">
      <c r="B41" s="23">
        <v>150874</v>
      </c>
      <c r="C41" s="13" t="s">
        <v>103</v>
      </c>
      <c r="D41" s="13" t="s">
        <v>101</v>
      </c>
      <c r="E41" s="14">
        <v>37890</v>
      </c>
      <c r="F41" s="12" t="s">
        <v>18</v>
      </c>
      <c r="G41" s="13" t="s">
        <v>19</v>
      </c>
      <c r="H41" s="13" t="s">
        <v>38</v>
      </c>
      <c r="I41" s="13" t="s">
        <v>52</v>
      </c>
      <c r="J41" s="8">
        <v>27000</v>
      </c>
      <c r="K41" s="18">
        <f>mydata[[#This Row],[Basic Salary]]*45/100</f>
        <v>12150</v>
      </c>
      <c r="L41" s="18">
        <f>mydata[[#This Row],[Basic Salary]]*5/100+1000</f>
        <v>2350</v>
      </c>
      <c r="M41" s="18">
        <f>mydata[[#This Row],[Basic Salary]]+mydata[[#This Row],[1]]+mydata[[#This Row],[2]]</f>
        <v>41500</v>
      </c>
      <c r="N41" s="18">
        <f>mydata[[#This Row],[3]]*5/100</f>
        <v>2075</v>
      </c>
      <c r="O41" s="24">
        <f t="shared" si="0"/>
        <v>39425</v>
      </c>
    </row>
    <row r="42" spans="2:15" x14ac:dyDescent="0.3">
      <c r="B42" s="23">
        <v>150798</v>
      </c>
      <c r="C42" s="13" t="s">
        <v>104</v>
      </c>
      <c r="D42" s="13" t="s">
        <v>101</v>
      </c>
      <c r="E42" s="14">
        <v>28276</v>
      </c>
      <c r="F42" s="12" t="s">
        <v>18</v>
      </c>
      <c r="G42" s="13" t="s">
        <v>19</v>
      </c>
      <c r="H42" s="13" t="s">
        <v>26</v>
      </c>
      <c r="I42" s="13" t="s">
        <v>21</v>
      </c>
      <c r="J42" s="8">
        <v>81000</v>
      </c>
      <c r="K42" s="18">
        <f>mydata[[#This Row],[Basic Salary]]*45/100</f>
        <v>36450</v>
      </c>
      <c r="L42" s="18">
        <f>mydata[[#This Row],[Basic Salary]]*5/100+1000</f>
        <v>5050</v>
      </c>
      <c r="M42" s="18">
        <f>mydata[[#This Row],[Basic Salary]]+mydata[[#This Row],[1]]+mydata[[#This Row],[2]]</f>
        <v>122500</v>
      </c>
      <c r="N42" s="18">
        <f>mydata[[#This Row],[3]]*5/100</f>
        <v>6125</v>
      </c>
      <c r="O42" s="24">
        <f t="shared" si="0"/>
        <v>116375</v>
      </c>
    </row>
    <row r="43" spans="2:15" x14ac:dyDescent="0.3">
      <c r="B43" s="23">
        <v>150830</v>
      </c>
      <c r="C43" s="13" t="s">
        <v>105</v>
      </c>
      <c r="D43" s="13" t="s">
        <v>106</v>
      </c>
      <c r="E43" s="14">
        <v>29037</v>
      </c>
      <c r="F43" s="12" t="s">
        <v>18</v>
      </c>
      <c r="G43" s="13" t="s">
        <v>19</v>
      </c>
      <c r="H43" s="13" t="s">
        <v>93</v>
      </c>
      <c r="I43" s="13" t="s">
        <v>21</v>
      </c>
      <c r="J43" s="8">
        <v>52000</v>
      </c>
      <c r="K43" s="18">
        <f>mydata[[#This Row],[Basic Salary]]*45/100</f>
        <v>23400</v>
      </c>
      <c r="L43" s="18">
        <f>mydata[[#This Row],[Basic Salary]]*5/100+1000</f>
        <v>3600</v>
      </c>
      <c r="M43" s="18">
        <f>mydata[[#This Row],[Basic Salary]]+mydata[[#This Row],[1]]+mydata[[#This Row],[2]]</f>
        <v>79000</v>
      </c>
      <c r="N43" s="18">
        <f>mydata[[#This Row],[3]]*5/100</f>
        <v>3950</v>
      </c>
      <c r="O43" s="24">
        <f t="shared" si="0"/>
        <v>75050</v>
      </c>
    </row>
    <row r="44" spans="2:15" x14ac:dyDescent="0.3">
      <c r="B44" s="23">
        <v>150929</v>
      </c>
      <c r="C44" s="13" t="s">
        <v>107</v>
      </c>
      <c r="D44" s="13" t="s">
        <v>108</v>
      </c>
      <c r="E44" s="14">
        <v>26739</v>
      </c>
      <c r="F44" s="12" t="s">
        <v>32</v>
      </c>
      <c r="G44" s="13" t="s">
        <v>19</v>
      </c>
      <c r="H44" s="13" t="s">
        <v>38</v>
      </c>
      <c r="I44" s="13" t="s">
        <v>34</v>
      </c>
      <c r="J44" s="8">
        <v>58000</v>
      </c>
      <c r="K44" s="18">
        <f>mydata[[#This Row],[Basic Salary]]*45/100</f>
        <v>26100</v>
      </c>
      <c r="L44" s="18">
        <f>mydata[[#This Row],[Basic Salary]]*5/100+1000</f>
        <v>3900</v>
      </c>
      <c r="M44" s="18">
        <f>mydata[[#This Row],[Basic Salary]]+mydata[[#This Row],[1]]+mydata[[#This Row],[2]]</f>
        <v>88000</v>
      </c>
      <c r="N44" s="18">
        <f>mydata[[#This Row],[3]]*5/100</f>
        <v>4400</v>
      </c>
      <c r="O44" s="24">
        <f t="shared" si="0"/>
        <v>83600</v>
      </c>
    </row>
    <row r="45" spans="2:15" x14ac:dyDescent="0.3">
      <c r="B45" s="23">
        <v>150982</v>
      </c>
      <c r="C45" s="13" t="s">
        <v>109</v>
      </c>
      <c r="D45" s="13" t="s">
        <v>110</v>
      </c>
      <c r="E45" s="14">
        <v>35574</v>
      </c>
      <c r="F45" s="12" t="s">
        <v>32</v>
      </c>
      <c r="G45" s="13" t="s">
        <v>19</v>
      </c>
      <c r="H45" s="13" t="s">
        <v>38</v>
      </c>
      <c r="I45" s="13" t="s">
        <v>46</v>
      </c>
      <c r="J45" s="8">
        <v>47000</v>
      </c>
      <c r="K45" s="18">
        <f>mydata[[#This Row],[Basic Salary]]*45/100</f>
        <v>21150</v>
      </c>
      <c r="L45" s="18">
        <f>mydata[[#This Row],[Basic Salary]]*5/100+1000</f>
        <v>3350</v>
      </c>
      <c r="M45" s="18">
        <f>mydata[[#This Row],[Basic Salary]]+mydata[[#This Row],[1]]+mydata[[#This Row],[2]]</f>
        <v>71500</v>
      </c>
      <c r="N45" s="18">
        <f>mydata[[#This Row],[3]]*5/100</f>
        <v>3575</v>
      </c>
      <c r="O45" s="24">
        <f t="shared" si="0"/>
        <v>67925</v>
      </c>
    </row>
    <row r="46" spans="2:15" x14ac:dyDescent="0.3">
      <c r="B46" s="29">
        <v>150821</v>
      </c>
      <c r="C46" s="30" t="s">
        <v>111</v>
      </c>
      <c r="D46" s="30" t="s">
        <v>112</v>
      </c>
      <c r="E46" s="31">
        <v>29966</v>
      </c>
      <c r="F46" s="32" t="s">
        <v>32</v>
      </c>
      <c r="G46" s="30" t="s">
        <v>25</v>
      </c>
      <c r="H46" s="30" t="s">
        <v>65</v>
      </c>
      <c r="I46" s="30" t="s">
        <v>21</v>
      </c>
      <c r="J46" s="33">
        <v>26000</v>
      </c>
      <c r="K46" s="34">
        <f>mydata[[#This Row],[Basic Salary]]*45/100</f>
        <v>11700</v>
      </c>
      <c r="L46" s="34">
        <f>mydata[[#This Row],[Basic Salary]]*5/100+1000</f>
        <v>2300</v>
      </c>
      <c r="M46" s="34">
        <f>mydata[[#This Row],[Basic Salary]]+mydata[[#This Row],[1]]+mydata[[#This Row],[2]]</f>
        <v>40000</v>
      </c>
      <c r="N46" s="34">
        <f>mydata[[#This Row],[3]]*5/100</f>
        <v>2000</v>
      </c>
      <c r="O46" s="35">
        <f t="shared" si="0"/>
        <v>38000</v>
      </c>
    </row>
  </sheetData>
  <mergeCells count="5">
    <mergeCell ref="C2:H2"/>
    <mergeCell ref="C3:H3"/>
    <mergeCell ref="C4:H4"/>
    <mergeCell ref="C5:H5"/>
    <mergeCell ref="C6:H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Arithmatic Functions</vt:lpstr>
      <vt:lpstr>Operators</vt:lpstr>
      <vt:lpstr>Basic_Salary</vt:lpstr>
      <vt:lpstr>Depart</vt:lpstr>
      <vt:lpstr>Department</vt:lpstr>
      <vt:lpstr>Female</vt:lpstr>
      <vt:lpstr>Reg</vt:lpstr>
      <vt:lpstr>Region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2026-06-05T09:44:42Z</dcterms:modified>
</cp:coreProperties>
</file>