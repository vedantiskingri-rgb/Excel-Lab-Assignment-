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7E0FAF83-41EC-42D2-9EFD-9185749BDD78}" xr6:coauthVersionLast="47" xr6:coauthVersionMax="47" xr10:uidLastSave="{00000000-0000-0000-0000-000000000000}"/>
  <bookViews>
    <workbookView xWindow="-108" yWindow="-108" windowWidth="23256" windowHeight="13176" activeTab="5" xr2:uid="{1FA82DDF-C0CA-46EC-A4FA-58DC994F18C1}"/>
  </bookViews>
  <sheets>
    <sheet name="SUM" sheetId="1" r:id="rId1"/>
    <sheet name="MAX" sheetId="2" r:id="rId2"/>
    <sheet name="MIN" sheetId="3" r:id="rId3"/>
    <sheet name="AVERAGE" sheetId="4" r:id="rId4"/>
    <sheet name="COUNT" sheetId="5" r:id="rId5"/>
    <sheet name="IF" sheetId="6" r:id="rId6"/>
    <sheet name="Challenge" sheetId="7" r:id="rId7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6" l="1"/>
  <c r="B12" i="3"/>
  <c r="B12" i="1"/>
  <c r="G19" i="7"/>
  <c r="C15" i="6"/>
  <c r="C14" i="6"/>
  <c r="C13" i="6"/>
  <c r="C12" i="6"/>
  <c r="B14" i="5"/>
  <c r="B13" i="5"/>
  <c r="B12" i="5"/>
  <c r="B11" i="5"/>
  <c r="B13" i="4"/>
  <c r="B12" i="4"/>
  <c r="B11" i="4"/>
  <c r="B11" i="3"/>
  <c r="B12" i="2"/>
  <c r="B11" i="2"/>
  <c r="B10" i="2"/>
  <c r="B10" i="1"/>
  <c r="B11" i="1"/>
  <c r="C12" i="5"/>
  <c r="C13" i="5"/>
  <c r="C14" i="5"/>
  <c r="C11" i="5"/>
  <c r="C11" i="1"/>
  <c r="C12" i="1"/>
  <c r="C10" i="1"/>
  <c r="C11" i="2"/>
  <c r="C12" i="2"/>
  <c r="C10" i="2"/>
  <c r="C12" i="3"/>
  <c r="C11" i="3"/>
  <c r="C12" i="4"/>
  <c r="C13" i="4"/>
  <c r="C11" i="4"/>
</calcChain>
</file>

<file path=xl/sharedStrings.xml><?xml version="1.0" encoding="utf-8"?>
<sst xmlns="http://schemas.openxmlformats.org/spreadsheetml/2006/main" count="107" uniqueCount="61">
  <si>
    <t>Alice</t>
  </si>
  <si>
    <t>North</t>
  </si>
  <si>
    <t>Bob</t>
  </si>
  <si>
    <t>South</t>
  </si>
  <si>
    <t>Charlie</t>
  </si>
  <si>
    <t xml:space="preserve">Salesperson </t>
  </si>
  <si>
    <t>Region</t>
  </si>
  <si>
    <t>Sales Amount</t>
  </si>
  <si>
    <t>Laptop</t>
  </si>
  <si>
    <t>Electronics</t>
  </si>
  <si>
    <t>Smartphone</t>
  </si>
  <si>
    <t>Office Chair</t>
  </si>
  <si>
    <t>Furniture</t>
  </si>
  <si>
    <t>Desk</t>
  </si>
  <si>
    <t>Tablet</t>
  </si>
  <si>
    <t>Product</t>
  </si>
  <si>
    <t>Category</t>
  </si>
  <si>
    <t>Price</t>
  </si>
  <si>
    <t>Marketing</t>
  </si>
  <si>
    <t>Sarah</t>
  </si>
  <si>
    <t>IT</t>
  </si>
  <si>
    <t>James</t>
  </si>
  <si>
    <t>Elena</t>
  </si>
  <si>
    <t>Mark</t>
  </si>
  <si>
    <t>HR</t>
  </si>
  <si>
    <t>Linda</t>
  </si>
  <si>
    <t>Department</t>
  </si>
  <si>
    <t>Employee</t>
  </si>
  <si>
    <t>Salary</t>
  </si>
  <si>
    <t>Design</t>
  </si>
  <si>
    <t>Build</t>
  </si>
  <si>
    <t>Mike</t>
  </si>
  <si>
    <t>Test</t>
  </si>
  <si>
    <t>Launch</t>
  </si>
  <si>
    <t>Pending</t>
  </si>
  <si>
    <t>Backup</t>
  </si>
  <si>
    <t>Task</t>
  </si>
  <si>
    <t>Days to Complete</t>
  </si>
  <si>
    <t>Owner</t>
  </si>
  <si>
    <t>Alex</t>
  </si>
  <si>
    <t>Paid</t>
  </si>
  <si>
    <t>Bella</t>
  </si>
  <si>
    <t>Chris</t>
  </si>
  <si>
    <t>Unpaid</t>
  </si>
  <si>
    <t>Dana</t>
  </si>
  <si>
    <t>Enzo</t>
  </si>
  <si>
    <t>Student</t>
  </si>
  <si>
    <t>Score</t>
  </si>
  <si>
    <t>Attendance %</t>
  </si>
  <si>
    <t>Status</t>
  </si>
  <si>
    <t>🏆 The Master Challenge: Employee Performance Review</t>
  </si>
  <si>
    <t>Let’s tie everything together. To truly master these functions, students need to see how they interact in a real-world scenario. Here is a "Master Performance Dashboard" challenge.</t>
  </si>
  <si>
    <t>Scenario: You are the HR Analytics Manager. You need to analyze the following dataset to determine bonuses, identify top talent, and summarize department costs.</t>
  </si>
  <si>
    <t>Sales</t>
  </si>
  <si>
    <t>John</t>
  </si>
  <si>
    <t>ID</t>
  </si>
  <si>
    <t>Name</t>
  </si>
  <si>
    <t>Dept</t>
  </si>
  <si>
    <t>Monthly Sales</t>
  </si>
  <si>
    <t>Rating</t>
  </si>
  <si>
    <t>perform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</si>
</sst>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8"/>
      <color theme="1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b/>
      <sz val="12"/>
      <color theme="7" tint="-0.249977111117893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rgb="FFF9FAF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 indent="1" readingOrder="1"/>
    </xf>
    <xf numFmtId="0" fontId="2" fillId="0" borderId="2" xfId="0" applyFont="1" applyBorder="1" applyAlignment="1">
      <alignment horizontal="left" vertical="top" wrapText="1" indent="1" readingOrder="1"/>
    </xf>
    <xf numFmtId="0" fontId="4" fillId="0" borderId="2" xfId="0" applyFont="1" applyBorder="1" applyAlignment="1">
      <alignment horizontal="left" vertical="top" wrapText="1" indent="1" readingOrder="1"/>
    </xf>
    <xf numFmtId="0" fontId="3" fillId="0" borderId="2" xfId="0" applyFont="1" applyBorder="1" applyAlignment="1">
      <alignment horizontal="right" vertical="center" wrapText="1" indent="1" readingOrder="1"/>
    </xf>
    <xf numFmtId="0" fontId="2" fillId="0" borderId="2" xfId="0" applyFont="1" applyBorder="1" applyAlignment="1">
      <alignment horizontal="right" vertical="center" wrapText="1" indent="1" readingOrder="1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2" xfId="0" applyFont="1" applyBorder="1" applyAlignment="1">
      <alignment horizontal="right" vertical="top" wrapText="1" indent="1" readingOrder="1"/>
    </xf>
    <xf numFmtId="0" fontId="2" fillId="0" borderId="2" xfId="0" applyFont="1" applyBorder="1" applyAlignment="1">
      <alignment horizontal="right" vertical="top" wrapText="1" indent="1" readingOrder="1"/>
    </xf>
    <xf numFmtId="0" fontId="1" fillId="0" borderId="0" xfId="0" applyFont="1" applyAlignment="1">
      <alignment wrapText="1"/>
    </xf>
    <xf numFmtId="0" fontId="0" fillId="2" borderId="0" xfId="0" applyFill="1"/>
    <xf numFmtId="0" fontId="8" fillId="0" borderId="0" xfId="0" applyFont="1"/>
    <xf numFmtId="0" fontId="9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1</xdr:row>
      <xdr:rowOff>95250</xdr:rowOff>
    </xdr:from>
    <xdr:to>
      <xdr:col>14</xdr:col>
      <xdr:colOff>114300</xdr:colOff>
      <xdr:row>27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4CF4B3-FB01-2582-0F0A-F28019ABF827}"/>
            </a:ext>
          </a:extLst>
        </xdr:cNvPr>
        <xdr:cNvSpPr txBox="1"/>
      </xdr:nvSpPr>
      <xdr:spPr>
        <a:xfrm>
          <a:off x="5746750" y="285750"/>
          <a:ext cx="4279900" cy="476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SUM</a:t>
          </a:r>
        </a:p>
        <a:p>
          <a:r>
            <a:rPr lang="en-IN" b="1"/>
            <a:t>Purpose:</a:t>
          </a:r>
          <a:r>
            <a:rPr lang="en-IN"/>
            <a:t> Adds all numbers in a specific range.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=SUM(range)</a:t>
          </a:r>
          <a:endParaRPr lang="en-IN"/>
        </a:p>
        <a:p>
          <a:r>
            <a:rPr lang="en-IN" b="1"/>
            <a:t>Example:</a:t>
          </a:r>
          <a:r>
            <a:rPr lang="en-IN"/>
            <a:t> To find the total sales of everyone.</a:t>
          </a:r>
        </a:p>
        <a:p>
          <a:r>
            <a:rPr lang="en-IN" b="1"/>
            <a:t>Formula:</a:t>
          </a:r>
          <a:r>
            <a:rPr lang="en-IN"/>
            <a:t> </a:t>
          </a:r>
          <a:r>
            <a:rPr lang="en-IN" baseline="0"/>
            <a:t>              </a:t>
          </a:r>
          <a:r>
            <a:rPr lang="en-IN"/>
            <a:t>=SUM(C2:C6)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2000</a:t>
          </a:r>
        </a:p>
        <a:p>
          <a:endParaRPr lang="en-IN"/>
        </a:p>
        <a:p>
          <a:r>
            <a:rPr lang="en-IN" b="1"/>
            <a:t>2. SUMIF</a:t>
          </a:r>
        </a:p>
        <a:p>
          <a:r>
            <a:rPr lang="en-IN" b="1"/>
            <a:t>Purpose:</a:t>
          </a:r>
          <a:r>
            <a:rPr lang="en-IN"/>
            <a:t> Adds values in a range that meet </a:t>
          </a:r>
          <a:r>
            <a:rPr lang="en-IN" b="1"/>
            <a:t>one</a:t>
          </a:r>
          <a:r>
            <a:rPr lang="en-IN"/>
            <a:t> specific criterion.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=SUMIF(range, criteria, [sum_range])</a:t>
          </a:r>
          <a:endParaRPr lang="en-IN"/>
        </a:p>
        <a:p>
          <a:r>
            <a:rPr lang="en-IN" b="1"/>
            <a:t>Example:</a:t>
          </a:r>
          <a:r>
            <a:rPr lang="en-IN"/>
            <a:t> To find the total sales specifically for the </a:t>
          </a:r>
          <a:r>
            <a:rPr lang="en-IN" b="1"/>
            <a:t>North</a:t>
          </a:r>
          <a:r>
            <a:rPr lang="en-IN"/>
            <a:t> region.</a:t>
          </a:r>
        </a:p>
        <a:p>
          <a:r>
            <a:rPr lang="en-IN" b="1"/>
            <a:t>Formula:</a:t>
          </a:r>
          <a:r>
            <a:rPr lang="en-IN"/>
            <a:t> </a:t>
          </a:r>
          <a:r>
            <a:rPr lang="en-IN" baseline="0"/>
            <a:t>           </a:t>
          </a:r>
          <a:r>
            <a:rPr lang="en-IN"/>
            <a:t>=SUMIF(B2:B6, "North", C2:C6)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1300</a:t>
          </a:r>
          <a:r>
            <a:rPr lang="en-IN"/>
            <a:t> (500 + 600 + 200)</a:t>
          </a:r>
        </a:p>
        <a:p>
          <a:endParaRPr lang="en-IN"/>
        </a:p>
        <a:p>
          <a:endParaRPr lang="en-IN"/>
        </a:p>
        <a:p>
          <a:r>
            <a:rPr lang="en-IN" b="1"/>
            <a:t>3. SUMIFS</a:t>
          </a:r>
        </a:p>
        <a:p>
          <a:r>
            <a:rPr lang="en-IN" b="1"/>
            <a:t>Purpose:</a:t>
          </a:r>
          <a:r>
            <a:rPr lang="en-IN"/>
            <a:t> Adds values that meet </a:t>
          </a:r>
          <a:r>
            <a:rPr lang="en-IN" b="1"/>
            <a:t>multiple</a:t>
          </a:r>
          <a:r>
            <a:rPr lang="en-IN"/>
            <a:t> criteria.</a:t>
          </a:r>
        </a:p>
        <a:p>
          <a:r>
            <a:rPr lang="en-IN" b="1"/>
            <a:t>Note:</a:t>
          </a:r>
          <a:r>
            <a:rPr lang="en-IN"/>
            <a:t> The order changes here—the "Sum Range" comes </a:t>
          </a:r>
          <a:r>
            <a:rPr lang="en-IN" b="1"/>
            <a:t>first</a:t>
          </a:r>
          <a:r>
            <a:rPr lang="en-IN"/>
            <a:t>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=SUMIFS(sum_range, criteria_range1, criteria1, criteria_range2, criteria2, ...)</a:t>
          </a:r>
          <a:endParaRPr lang="en-IN"/>
        </a:p>
        <a:p>
          <a:r>
            <a:rPr lang="en-IN" b="1"/>
            <a:t>Example:</a:t>
          </a:r>
          <a:r>
            <a:rPr lang="en-IN"/>
            <a:t> To find the total sales for </a:t>
          </a:r>
          <a:r>
            <a:rPr lang="en-IN" b="1"/>
            <a:t>Alice</a:t>
          </a:r>
          <a:r>
            <a:rPr lang="en-IN"/>
            <a:t> in the </a:t>
          </a:r>
          <a:r>
            <a:rPr lang="en-IN" b="1"/>
            <a:t>South</a:t>
          </a:r>
          <a:r>
            <a:rPr lang="en-IN"/>
            <a:t> region.</a:t>
          </a:r>
        </a:p>
        <a:p>
          <a:r>
            <a:rPr lang="en-IN" b="1"/>
            <a:t>Formula:</a:t>
          </a:r>
          <a:r>
            <a:rPr lang="en-IN"/>
            <a:t> </a:t>
          </a:r>
          <a:r>
            <a:rPr lang="en-IN" baseline="0"/>
            <a:t>           </a:t>
          </a:r>
          <a:r>
            <a:rPr lang="en-IN"/>
            <a:t>SUMIFS(C2:C6, A2:A6, "Alice", B2:B6, "South")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400</a:t>
          </a:r>
          <a:endParaRPr lang="en-IN"/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558800</xdr:colOff>
      <xdr:row>0</xdr:row>
      <xdr:rowOff>114300</xdr:rowOff>
    </xdr:from>
    <xdr:to>
      <xdr:col>12</xdr:col>
      <xdr:colOff>571500</xdr:colOff>
      <xdr:row>26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D42A11-A768-4FA5-BC3F-065BEE7A65A5}"/>
            </a:ext>
          </a:extLst>
        </xdr:cNvPr>
        <xdr:cNvSpPr txBox="1"/>
      </xdr:nvSpPr>
      <xdr:spPr>
        <a:xfrm>
          <a:off x="5549900" y="114300"/>
          <a:ext cx="4279900" cy="476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MAX</a:t>
          </a:r>
        </a:p>
        <a:p>
          <a:r>
            <a:rPr lang="en-IN" b="1"/>
            <a:t>Purpose:</a:t>
          </a:r>
          <a:r>
            <a:rPr lang="en-IN"/>
            <a:t> Returns the largest value in a set of values.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=MAX(range)</a:t>
          </a:r>
          <a:endParaRPr lang="en-IN"/>
        </a:p>
        <a:p>
          <a:r>
            <a:rPr lang="en-IN" b="1"/>
            <a:t>Example:</a:t>
          </a:r>
          <a:r>
            <a:rPr lang="en-IN"/>
            <a:t> What is the most expensive item in the entire store?</a:t>
          </a:r>
        </a:p>
        <a:p>
          <a:r>
            <a:rPr lang="en-IN" b="1"/>
            <a:t>Formula:</a:t>
          </a:r>
          <a:r>
            <a:rPr lang="en-IN" b="0" baseline="0"/>
            <a:t>      </a:t>
          </a:r>
          <a:r>
            <a:rPr lang="en-IN"/>
            <a:t> =MAX(C2:C6)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1200</a:t>
          </a:r>
        </a:p>
        <a:p>
          <a:endParaRPr lang="en-IN" b="1"/>
        </a:p>
        <a:p>
          <a:endParaRPr lang="en-IN"/>
        </a:p>
        <a:p>
          <a:r>
            <a:rPr lang="en-IN" b="1"/>
            <a:t>2. MAXIFS</a:t>
          </a:r>
        </a:p>
        <a:p>
          <a:r>
            <a:rPr lang="en-IN" b="1"/>
            <a:t>Purpose:</a:t>
          </a:r>
          <a:r>
            <a:rPr lang="en-IN"/>
            <a:t> Returns the maximum value among cells specified by a given set of conditions or criteria.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=MAXIFS(max_range, criteria_range1, criteria1, ...)</a:t>
          </a:r>
          <a:endParaRPr lang="en-IN"/>
        </a:p>
        <a:p>
          <a:r>
            <a:rPr lang="en-IN" b="1"/>
            <a:t>Logic:</a:t>
          </a:r>
          <a:r>
            <a:rPr lang="en-IN"/>
            <a:t> It filters the data first, then finds the highest number remaining.</a:t>
          </a:r>
        </a:p>
        <a:p>
          <a:r>
            <a:rPr lang="en-IN" b="1"/>
            <a:t>Example (Single Condition):</a:t>
          </a:r>
          <a:r>
            <a:rPr lang="en-IN"/>
            <a:t> What is the highest price in the </a:t>
          </a:r>
          <a:r>
            <a:rPr lang="en-IN" b="1"/>
            <a:t>Electronics</a:t>
          </a:r>
          <a:r>
            <a:rPr lang="en-IN"/>
            <a:t> category?</a:t>
          </a:r>
        </a:p>
        <a:p>
          <a:r>
            <a:rPr lang="en-IN" b="1"/>
            <a:t>Formula:</a:t>
          </a:r>
          <a:r>
            <a:rPr lang="en-IN"/>
            <a:t> </a:t>
          </a:r>
          <a:r>
            <a:rPr lang="en-IN" baseline="0"/>
            <a:t>          </a:t>
          </a:r>
          <a:r>
            <a:rPr lang="en-IN"/>
            <a:t>=MAXIFS(C2:C6, B2:B6, "Electronics")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1200</a:t>
          </a:r>
        </a:p>
        <a:p>
          <a:endParaRPr lang="en-IN"/>
        </a:p>
        <a:p>
          <a:r>
            <a:rPr lang="en-IN" b="1"/>
            <a:t>Example (Multiple Conditions):</a:t>
          </a:r>
          <a:r>
            <a:rPr lang="en-IN"/>
            <a:t> What is the highest price for </a:t>
          </a:r>
          <a:r>
            <a:rPr lang="en-IN" b="1"/>
            <a:t>Furniture</a:t>
          </a:r>
          <a:r>
            <a:rPr lang="en-IN"/>
            <a:t> that is under </a:t>
          </a:r>
          <a:r>
            <a:rPr lang="en-IN" b="1"/>
            <a:t>$300</a:t>
          </a:r>
          <a:r>
            <a:rPr lang="en-IN"/>
            <a:t>?</a:t>
          </a:r>
        </a:p>
        <a:p>
          <a:r>
            <a:rPr lang="en-IN" b="1"/>
            <a:t>Formula:</a:t>
          </a:r>
          <a:r>
            <a:rPr lang="en-IN" b="0" baseline="0"/>
            <a:t>          </a:t>
          </a:r>
          <a:r>
            <a:rPr lang="en-IN"/>
            <a:t>=MAXIFS(C2:C6, B2:B6, "Furniture", C2:C6, "&lt;300")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250</a:t>
          </a:r>
          <a:endParaRPr lang="en-IN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0</xdr:row>
      <xdr:rowOff>88900</xdr:rowOff>
    </xdr:from>
    <xdr:to>
      <xdr:col>13</xdr:col>
      <xdr:colOff>88900</xdr:colOff>
      <xdr:row>15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42DF99-1999-4F01-BFDA-FD7A32F53334}"/>
            </a:ext>
          </a:extLst>
        </xdr:cNvPr>
        <xdr:cNvSpPr txBox="1"/>
      </xdr:nvSpPr>
      <xdr:spPr>
        <a:xfrm>
          <a:off x="4724400" y="88900"/>
          <a:ext cx="4279900" cy="297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MIN</a:t>
          </a:r>
        </a:p>
        <a:p>
          <a:r>
            <a:rPr lang="en-IN" b="1"/>
            <a:t>Purpose:</a:t>
          </a:r>
          <a:r>
            <a:rPr lang="en-IN"/>
            <a:t> Returns the smallest value in a range.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=MIN(range)</a:t>
          </a:r>
          <a:endParaRPr lang="en-IN"/>
        </a:p>
        <a:p>
          <a:r>
            <a:rPr lang="en-IN" b="1"/>
            <a:t>Example:</a:t>
          </a:r>
          <a:r>
            <a:rPr lang="en-IN"/>
            <a:t> What is the cheapest item we sell?</a:t>
          </a:r>
        </a:p>
        <a:p>
          <a:r>
            <a:rPr lang="en-IN" b="1"/>
            <a:t>Formula:</a:t>
          </a:r>
          <a:r>
            <a:rPr lang="en-IN"/>
            <a:t> </a:t>
          </a:r>
          <a:r>
            <a:rPr lang="en-IN" baseline="0"/>
            <a:t>                </a:t>
          </a:r>
          <a:r>
            <a:rPr lang="en-IN"/>
            <a:t> =MIN(C2:C6)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250</a:t>
          </a:r>
        </a:p>
        <a:p>
          <a:endParaRPr lang="en-IN" b="1"/>
        </a:p>
        <a:p>
          <a:endParaRPr lang="en-IN" b="1"/>
        </a:p>
        <a:p>
          <a:endParaRPr lang="en-IN"/>
        </a:p>
        <a:p>
          <a:r>
            <a:rPr lang="en-IN" b="1"/>
            <a:t>2. MINIFS</a:t>
          </a:r>
        </a:p>
        <a:p>
          <a:r>
            <a:rPr lang="en-IN" b="1"/>
            <a:t>Purpose:</a:t>
          </a:r>
          <a:r>
            <a:rPr lang="en-IN"/>
            <a:t> Returns the minimum value among cells specified by a given set of conditions.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=MINIFS(min_range, criteria_range1, criteria1, ...)</a:t>
          </a:r>
          <a:endParaRPr lang="en-IN"/>
        </a:p>
        <a:p>
          <a:r>
            <a:rPr lang="en-IN" b="1"/>
            <a:t>Example:</a:t>
          </a:r>
          <a:r>
            <a:rPr lang="en-IN"/>
            <a:t> What is the cheapest item in the </a:t>
          </a:r>
          <a:r>
            <a:rPr lang="en-IN" b="1"/>
            <a:t>Electronics</a:t>
          </a:r>
          <a:r>
            <a:rPr lang="en-IN"/>
            <a:t> category?</a:t>
          </a:r>
        </a:p>
        <a:p>
          <a:r>
            <a:rPr lang="en-IN" b="1"/>
            <a:t>Formula:</a:t>
          </a:r>
          <a:r>
            <a:rPr lang="en-IN" b="0" baseline="0"/>
            <a:t>                    </a:t>
          </a:r>
          <a:r>
            <a:rPr lang="en-IN"/>
            <a:t> =MINIFS(C2:C6, B2:B6, "Electronics")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600</a:t>
          </a:r>
          <a:endParaRPr lang="en-IN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1</xdr:row>
      <xdr:rowOff>12700</xdr:rowOff>
    </xdr:from>
    <xdr:to>
      <xdr:col>12</xdr:col>
      <xdr:colOff>247650</xdr:colOff>
      <xdr:row>21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4CE233-1415-4D0E-80FC-37133649B2EE}"/>
            </a:ext>
          </a:extLst>
        </xdr:cNvPr>
        <xdr:cNvSpPr txBox="1"/>
      </xdr:nvSpPr>
      <xdr:spPr>
        <a:xfrm>
          <a:off x="4445000" y="212725"/>
          <a:ext cx="4279900" cy="3997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AVERAGE</a:t>
          </a:r>
        </a:p>
        <a:p>
          <a:r>
            <a:rPr lang="en-IN" b="1"/>
            <a:t>Purpose:</a:t>
          </a:r>
          <a:r>
            <a:rPr lang="en-IN"/>
            <a:t> Returns the average (mean) of its arguments.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=AVERAGE(range)</a:t>
          </a:r>
          <a:endParaRPr lang="en-IN"/>
        </a:p>
        <a:p>
          <a:r>
            <a:rPr lang="en-IN" b="1"/>
            <a:t>Example:</a:t>
          </a:r>
          <a:r>
            <a:rPr lang="en-IN"/>
            <a:t> What is the average salary across the whole company?</a:t>
          </a:r>
        </a:p>
        <a:p>
          <a:r>
            <a:rPr lang="en-IN" b="1"/>
            <a:t>Formula:</a:t>
          </a:r>
          <a:r>
            <a:rPr lang="en-IN"/>
            <a:t> </a:t>
          </a:r>
          <a:r>
            <a:rPr lang="en-IN" baseline="0"/>
            <a:t>                 </a:t>
          </a:r>
          <a:r>
            <a:rPr lang="en-IN"/>
            <a:t> =AVERAGE(C2:C6)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64400</a:t>
          </a:r>
        </a:p>
        <a:p>
          <a:endParaRPr lang="en-IN"/>
        </a:p>
        <a:p>
          <a:r>
            <a:rPr lang="en-IN" b="1"/>
            <a:t>2. AVERAGEIF</a:t>
          </a:r>
        </a:p>
        <a:p>
          <a:r>
            <a:rPr lang="en-IN" b="1"/>
            <a:t>Purpose:</a:t>
          </a:r>
          <a:r>
            <a:rPr lang="en-IN"/>
            <a:t> Returns the average of all cells in a range that meet a given criterion.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=AVERAGEIF(range, criteria, [average_range])</a:t>
          </a:r>
          <a:endParaRPr lang="en-IN"/>
        </a:p>
        <a:p>
          <a:r>
            <a:rPr lang="en-IN" b="1"/>
            <a:t>Example:</a:t>
          </a:r>
          <a:r>
            <a:rPr lang="en-IN"/>
            <a:t> What is the average salary in the </a:t>
          </a:r>
          <a:r>
            <a:rPr lang="en-IN" b="1"/>
            <a:t>IT</a:t>
          </a:r>
          <a:r>
            <a:rPr lang="en-IN"/>
            <a:t> department?</a:t>
          </a:r>
        </a:p>
        <a:p>
          <a:r>
            <a:rPr lang="en-IN" b="1"/>
            <a:t>Formula:</a:t>
          </a:r>
          <a:r>
            <a:rPr lang="en-IN"/>
            <a:t> </a:t>
          </a:r>
          <a:r>
            <a:rPr lang="en-IN" baseline="0"/>
            <a:t>                 </a:t>
          </a:r>
          <a:r>
            <a:rPr lang="en-IN"/>
            <a:t> =AVERAGEIF(A2:A6, "IT", C2:C6)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77500</a:t>
          </a:r>
        </a:p>
        <a:p>
          <a:endParaRPr lang="en-IN"/>
        </a:p>
        <a:p>
          <a:r>
            <a:rPr lang="en-IN" b="1"/>
            <a:t>3. AVERAGEIFS</a:t>
          </a:r>
        </a:p>
        <a:p>
          <a:r>
            <a:rPr lang="en-IN" b="1"/>
            <a:t>Purpose:</a:t>
          </a:r>
          <a:r>
            <a:rPr lang="en-IN"/>
            <a:t> Returns the average of all cells that meet multiple criteria.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=AVERAGEIFS(average_range, criteria_range1, criteria1, ...)</a:t>
          </a:r>
          <a:endParaRPr lang="en-IN"/>
        </a:p>
        <a:p>
          <a:r>
            <a:rPr lang="en-IN" b="1"/>
            <a:t>Example:</a:t>
          </a:r>
          <a:r>
            <a:rPr lang="en-IN"/>
            <a:t> What is the average salary for people in </a:t>
          </a:r>
          <a:r>
            <a:rPr lang="en-IN" b="1"/>
            <a:t>Marketing</a:t>
          </a:r>
          <a:r>
            <a:rPr lang="en-IN"/>
            <a:t> who earn more than </a:t>
          </a:r>
          <a:r>
            <a:rPr lang="en-IN" b="1"/>
            <a:t>$60,000</a:t>
          </a:r>
          <a:r>
            <a:rPr lang="en-IN"/>
            <a:t>?</a:t>
          </a:r>
        </a:p>
        <a:p>
          <a:r>
            <a:rPr lang="en-IN" b="1"/>
            <a:t>Formula:</a:t>
          </a:r>
          <a:r>
            <a:rPr lang="en-IN"/>
            <a:t> </a:t>
          </a:r>
          <a:r>
            <a:rPr lang="en-IN" baseline="0"/>
            <a:t>      </a:t>
          </a:r>
          <a:r>
            <a:rPr lang="en-IN"/>
            <a:t>=AVERAGEIFS(C2:C6, A2:A6, "Marketing", C2:C6, "&gt;60000")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62000</a:t>
          </a:r>
          <a:r>
            <a:rPr lang="en-IN"/>
            <a:t> (Only Elena meets this criteria)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285750</xdr:colOff>
      <xdr:row>32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BDCA02-F4E8-441F-98E3-E24A81A4C808}"/>
            </a:ext>
          </a:extLst>
        </xdr:cNvPr>
        <xdr:cNvSpPr txBox="1"/>
      </xdr:nvSpPr>
      <xdr:spPr>
        <a:xfrm>
          <a:off x="4794250" y="190500"/>
          <a:ext cx="5772150" cy="576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COUNT</a:t>
          </a:r>
        </a:p>
        <a:p>
          <a:r>
            <a:rPr lang="en-IN" b="1"/>
            <a:t>Purpose:</a:t>
          </a:r>
          <a:r>
            <a:rPr lang="en-IN"/>
            <a:t> Counts only the cells that contain </a:t>
          </a:r>
          <a:r>
            <a:rPr lang="en-IN" b="1"/>
            <a:t>numbers</a:t>
          </a:r>
          <a:r>
            <a:rPr lang="en-IN"/>
            <a:t>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=COUNT(range)</a:t>
          </a:r>
          <a:endParaRPr lang="en-IN"/>
        </a:p>
        <a:p>
          <a:r>
            <a:rPr lang="en-IN" b="1"/>
            <a:t>Example:</a:t>
          </a:r>
          <a:r>
            <a:rPr lang="en-IN"/>
            <a:t> How many tasks have a numerical "Days to Complete" value?</a:t>
          </a:r>
        </a:p>
        <a:p>
          <a:r>
            <a:rPr lang="en-IN" b="1"/>
            <a:t>Formula:</a:t>
          </a:r>
          <a:r>
            <a:rPr lang="en-IN"/>
            <a:t> </a:t>
          </a:r>
          <a:r>
            <a:rPr lang="en-IN" baseline="0"/>
            <a:t>           </a:t>
          </a:r>
          <a:r>
            <a:rPr lang="en-IN"/>
            <a:t> =COUNT(C2:C6)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4</a:t>
          </a:r>
          <a:r>
            <a:rPr lang="en-IN"/>
            <a:t> (It ignores the text "Pending")</a:t>
          </a:r>
        </a:p>
        <a:p>
          <a:endParaRPr lang="en-IN"/>
        </a:p>
        <a:p>
          <a:r>
            <a:rPr lang="en-IN" b="1"/>
            <a:t>2. COUNTA</a:t>
          </a:r>
        </a:p>
        <a:p>
          <a:r>
            <a:rPr lang="en-IN" b="1"/>
            <a:t>Purpose:</a:t>
          </a:r>
          <a:r>
            <a:rPr lang="en-IN"/>
            <a:t> Counts </a:t>
          </a:r>
          <a:r>
            <a:rPr lang="en-IN" b="1"/>
            <a:t>all</a:t>
          </a:r>
          <a:r>
            <a:rPr lang="en-IN"/>
            <a:t> non-empty cells (Numbers, Text, Errors, etc.). The "A" stands for "All" or "Alphanumeric."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=COUNTA(range)</a:t>
          </a:r>
          <a:endParaRPr lang="en-IN"/>
        </a:p>
        <a:p>
          <a:r>
            <a:rPr lang="en-IN" b="1"/>
            <a:t>Example:</a:t>
          </a:r>
          <a:r>
            <a:rPr lang="en-IN"/>
            <a:t> How many owners are assigned to tasks?</a:t>
          </a:r>
        </a:p>
        <a:p>
          <a:r>
            <a:rPr lang="en-IN" b="1"/>
            <a:t>Formula:</a:t>
          </a:r>
          <a:r>
            <a:rPr lang="en-IN"/>
            <a:t> </a:t>
          </a:r>
          <a:r>
            <a:rPr lang="en-IN" baseline="0"/>
            <a:t>        </a:t>
          </a:r>
          <a:r>
            <a:rPr lang="en-IN"/>
            <a:t>=COUNTA(B2:B6)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4</a:t>
          </a:r>
          <a:r>
            <a:rPr lang="en-IN"/>
            <a:t> (It ignores the empty cell B6)</a:t>
          </a:r>
        </a:p>
        <a:p>
          <a:endParaRPr lang="en-IN"/>
        </a:p>
        <a:p>
          <a:endParaRPr lang="en-IN"/>
        </a:p>
        <a:p>
          <a:r>
            <a:rPr lang="en-IN" b="1"/>
            <a:t>3. COUNTIF</a:t>
          </a:r>
        </a:p>
        <a:p>
          <a:r>
            <a:rPr lang="en-IN" b="1"/>
            <a:t>Purpose:</a:t>
          </a:r>
          <a:r>
            <a:rPr lang="en-IN"/>
            <a:t> Counts cells that meet </a:t>
          </a:r>
          <a:r>
            <a:rPr lang="en-IN" b="1"/>
            <a:t>one</a:t>
          </a:r>
          <a:r>
            <a:rPr lang="en-IN"/>
            <a:t> specific criterion.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=COUNTIF(range, criteria)</a:t>
          </a:r>
          <a:endParaRPr lang="en-IN"/>
        </a:p>
        <a:p>
          <a:r>
            <a:rPr lang="en-IN" b="1"/>
            <a:t>Example:</a:t>
          </a:r>
          <a:r>
            <a:rPr lang="en-IN"/>
            <a:t> How many tasks are assigned to </a:t>
          </a:r>
          <a:r>
            <a:rPr lang="en-IN" b="1"/>
            <a:t>Sarah</a:t>
          </a:r>
          <a:r>
            <a:rPr lang="en-IN"/>
            <a:t>?</a:t>
          </a:r>
        </a:p>
        <a:p>
          <a:r>
            <a:rPr lang="en-IN" b="1"/>
            <a:t>Formula:</a:t>
          </a:r>
          <a:r>
            <a:rPr lang="en-IN"/>
            <a:t> </a:t>
          </a:r>
          <a:r>
            <a:rPr lang="en-IN" baseline="0"/>
            <a:t>            </a:t>
          </a:r>
          <a:r>
            <a:rPr lang="en-IN"/>
            <a:t> =COUNTIF(B2:B6, "Sarah")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2</a:t>
          </a:r>
        </a:p>
        <a:p>
          <a:endParaRPr lang="en-IN" b="1"/>
        </a:p>
        <a:p>
          <a:endParaRPr lang="en-IN"/>
        </a:p>
        <a:p>
          <a:r>
            <a:rPr lang="en-IN" b="1"/>
            <a:t>4. COUNTIFS</a:t>
          </a:r>
        </a:p>
        <a:p>
          <a:r>
            <a:rPr lang="en-IN" b="1"/>
            <a:t>Purpose:</a:t>
          </a:r>
          <a:r>
            <a:rPr lang="en-IN"/>
            <a:t> Counts cells that meet </a:t>
          </a:r>
          <a:r>
            <a:rPr lang="en-IN" b="1"/>
            <a:t>multiple</a:t>
          </a:r>
          <a:r>
            <a:rPr lang="en-IN"/>
            <a:t> criteria across different ranges.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=COUNTIFS(criteria_range1, criteria1, criteria_range2, criteria2, ...)</a:t>
          </a:r>
          <a:endParaRPr lang="en-IN"/>
        </a:p>
        <a:p>
          <a:r>
            <a:rPr lang="en-IN" b="1"/>
            <a:t>Example:</a:t>
          </a:r>
          <a:r>
            <a:rPr lang="en-IN"/>
            <a:t> How many tasks does </a:t>
          </a:r>
          <a:r>
            <a:rPr lang="en-IN" b="1"/>
            <a:t>Sarah</a:t>
          </a:r>
          <a:r>
            <a:rPr lang="en-IN"/>
            <a:t> have that took </a:t>
          </a:r>
          <a:r>
            <a:rPr lang="en-IN" b="1"/>
            <a:t>more than 4 days</a:t>
          </a:r>
          <a:r>
            <a:rPr lang="en-IN"/>
            <a:t>?</a:t>
          </a:r>
        </a:p>
        <a:p>
          <a:r>
            <a:rPr lang="en-IN" b="1"/>
            <a:t>Formula:</a:t>
          </a:r>
          <a:r>
            <a:rPr lang="en-IN"/>
            <a:t> </a:t>
          </a:r>
          <a:r>
            <a:rPr lang="en-IN" baseline="0"/>
            <a:t>              </a:t>
          </a:r>
          <a:r>
            <a:rPr lang="en-IN"/>
            <a:t>=COUNTIFS(B2:B6, "Sarah", C2:C6, "&gt;4")</a:t>
          </a:r>
        </a:p>
        <a:p>
          <a:r>
            <a:rPr lang="en-IN" b="1"/>
            <a:t>Result:</a:t>
          </a:r>
          <a:r>
            <a:rPr lang="en-IN"/>
            <a:t> </a:t>
          </a:r>
          <a:r>
            <a:rPr lang="en-IN" b="1"/>
            <a:t>1</a:t>
          </a:r>
          <a:r>
            <a:rPr lang="en-IN"/>
            <a:t> (Only the "Design" task meets both)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285750</xdr:colOff>
      <xdr:row>50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567499-BF7C-4E70-B932-47A8856D4735}"/>
            </a:ext>
          </a:extLst>
        </xdr:cNvPr>
        <xdr:cNvSpPr txBox="1"/>
      </xdr:nvSpPr>
      <xdr:spPr>
        <a:xfrm>
          <a:off x="6051550" y="190500"/>
          <a:ext cx="5772150" cy="915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IF Function</a:t>
          </a:r>
        </a:p>
        <a:p>
          <a:r>
            <a:rPr lang="en-IN" b="1"/>
            <a:t>Purpose:</a:t>
          </a:r>
          <a:r>
            <a:rPr lang="en-IN"/>
            <a:t> The basic "Yes/No" check. It returns one value if a condition is true and another if it is false.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=IF(logical_test, value_if_true, value_if_false)</a:t>
          </a:r>
          <a:endParaRPr lang="en-IN"/>
        </a:p>
        <a:p>
          <a:r>
            <a:rPr lang="en-IN" b="1"/>
            <a:t>Example:</a:t>
          </a:r>
          <a:r>
            <a:rPr lang="en-IN"/>
            <a:t> Mark a student as "Pass" if their score is 50 or higher.</a:t>
          </a:r>
        </a:p>
        <a:p>
          <a:r>
            <a:rPr lang="en-IN" b="1"/>
            <a:t>Formula:</a:t>
          </a:r>
          <a:r>
            <a:rPr lang="en-IN"/>
            <a:t>                =IF(B2&gt;=50, "Pass", "Fail")</a:t>
          </a:r>
        </a:p>
        <a:p>
          <a:r>
            <a:rPr lang="en-IN" b="1"/>
            <a:t>Result (Alex):</a:t>
          </a:r>
          <a:r>
            <a:rPr lang="en-IN"/>
            <a:t> </a:t>
          </a:r>
          <a:r>
            <a:rPr lang="en-IN" b="1"/>
            <a:t>Pass</a:t>
          </a:r>
          <a:endParaRPr lang="en-IN"/>
        </a:p>
        <a:p>
          <a:br>
            <a:rPr lang="en-IN"/>
          </a:br>
          <a:endParaRPr lang="en-IN"/>
        </a:p>
        <a:p>
          <a:r>
            <a:rPr lang="en-IN" b="1"/>
            <a:t>2. Nested IF (The "Old School" Multiple Choice)</a:t>
          </a:r>
        </a:p>
        <a:p>
          <a:r>
            <a:rPr lang="en-IN" b="1"/>
            <a:t>Purpose:</a:t>
          </a:r>
          <a:r>
            <a:rPr lang="en-IN"/>
            <a:t> To check multiple conditions by placing an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IF</a:t>
          </a:r>
          <a:r>
            <a:rPr lang="en-IN"/>
            <a:t> inside another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IF</a:t>
          </a:r>
          <a:r>
            <a:rPr lang="en-IN"/>
            <a:t>.</a:t>
          </a:r>
        </a:p>
        <a:p>
          <a:r>
            <a:rPr lang="en-IN" b="1"/>
            <a:t>Example:</a:t>
          </a:r>
          <a:r>
            <a:rPr lang="en-IN"/>
            <a:t> Grade the scores: 90+ is "A", 70+ is "B", everything else is "C".</a:t>
          </a:r>
        </a:p>
        <a:p>
          <a:r>
            <a:rPr lang="en-IN" b="1"/>
            <a:t>Formula:</a:t>
          </a:r>
          <a:r>
            <a:rPr lang="en-IN"/>
            <a:t>                   =IF(B2&gt;=90, "A", IF(B2&gt;=70, "B", "C"))</a:t>
          </a:r>
        </a:p>
        <a:p>
          <a:r>
            <a:rPr lang="en-IN" b="1"/>
            <a:t>Result (Chris):</a:t>
          </a:r>
          <a:r>
            <a:rPr lang="en-IN"/>
            <a:t> </a:t>
          </a:r>
          <a:r>
            <a:rPr lang="en-IN" b="1"/>
            <a:t>B</a:t>
          </a:r>
          <a:endParaRPr lang="en-IN"/>
        </a:p>
        <a:p>
          <a:br>
            <a:rPr lang="en-IN"/>
          </a:br>
          <a:endParaRPr lang="en-IN"/>
        </a:p>
        <a:p>
          <a:r>
            <a:rPr lang="en-IN" b="1"/>
            <a:t>3. IF with AND</a:t>
          </a:r>
        </a:p>
        <a:p>
          <a:r>
            <a:rPr lang="en-IN" b="1"/>
            <a:t>Purpose:</a:t>
          </a:r>
          <a:r>
            <a:rPr lang="en-IN"/>
            <a:t> Used when </a:t>
          </a:r>
          <a:r>
            <a:rPr lang="en-IN" b="1"/>
            <a:t>all</a:t>
          </a:r>
          <a:r>
            <a:rPr lang="en-IN"/>
            <a:t> conditions must be met.</a:t>
          </a:r>
        </a:p>
        <a:p>
          <a:r>
            <a:rPr lang="en-IN" b="1"/>
            <a:t>Example:</a:t>
          </a:r>
          <a:r>
            <a:rPr lang="en-IN"/>
            <a:t> A student gets a "Bonus" only if their score is &gt; 80 </a:t>
          </a:r>
          <a:r>
            <a:rPr lang="en-IN" b="1"/>
            <a:t>AND</a:t>
          </a:r>
          <a:r>
            <a:rPr lang="en-IN"/>
            <a:t> attendance is &gt; 90%.</a:t>
          </a:r>
        </a:p>
        <a:p>
          <a:r>
            <a:rPr lang="en-IN" b="1"/>
            <a:t>Formula:</a:t>
          </a:r>
          <a:r>
            <a:rPr lang="en-IN"/>
            <a:t>            =IF(AND(B2&gt;80, C2&gt;90), "Bonus", "No Bonus")</a:t>
          </a:r>
        </a:p>
        <a:p>
          <a:r>
            <a:rPr lang="en-IN" b="1"/>
            <a:t>Result (Alex):</a:t>
          </a:r>
          <a:r>
            <a:rPr lang="en-IN"/>
            <a:t> </a:t>
          </a:r>
          <a:r>
            <a:rPr lang="en-IN" b="1"/>
            <a:t>Bonus</a:t>
          </a:r>
          <a:r>
            <a:rPr lang="en-IN"/>
            <a:t> (Enzo would get "No Bonus" because his attendance is too low).</a:t>
          </a:r>
        </a:p>
        <a:p>
          <a:br>
            <a:rPr lang="en-IN"/>
          </a:br>
          <a:endParaRPr lang="en-IN"/>
        </a:p>
        <a:p>
          <a:r>
            <a:rPr lang="en-IN" b="1"/>
            <a:t>4. IF with OR</a:t>
          </a:r>
        </a:p>
        <a:p>
          <a:r>
            <a:rPr lang="en-IN" b="1"/>
            <a:t>Purpose:</a:t>
          </a:r>
          <a:r>
            <a:rPr lang="en-IN"/>
            <a:t> Used when </a:t>
          </a:r>
          <a:r>
            <a:rPr lang="en-IN" b="1"/>
            <a:t>at least one</a:t>
          </a:r>
          <a:r>
            <a:rPr lang="en-IN"/>
            <a:t> condition must be met.</a:t>
          </a:r>
        </a:p>
        <a:p>
          <a:r>
            <a:rPr lang="en-IN" b="1"/>
            <a:t>Example:</a:t>
          </a:r>
          <a:r>
            <a:rPr lang="en-IN"/>
            <a:t> A student is "Flagged" if their score is &lt; 50 </a:t>
          </a:r>
          <a:r>
            <a:rPr lang="en-IN" b="1"/>
            <a:t>OR</a:t>
          </a:r>
          <a:r>
            <a:rPr lang="en-IN"/>
            <a:t> attendance is &lt; 50%.</a:t>
          </a:r>
        </a:p>
        <a:p>
          <a:r>
            <a:rPr lang="en-IN" b="1"/>
            <a:t>Formula:</a:t>
          </a:r>
          <a:r>
            <a:rPr lang="en-IN"/>
            <a:t>                   =IF(OR(B2&lt;50, C2&lt;50), "Flagged", "Clear")</a:t>
          </a:r>
        </a:p>
        <a:p>
          <a:r>
            <a:rPr lang="en-IN" b="1"/>
            <a:t>Result (Bella):</a:t>
          </a:r>
          <a:r>
            <a:rPr lang="en-IN"/>
            <a:t> </a:t>
          </a:r>
          <a:r>
            <a:rPr lang="en-IN" b="1"/>
            <a:t>Flagged</a:t>
          </a:r>
          <a:r>
            <a:rPr lang="en-IN"/>
            <a:t> (Score is 45).</a:t>
          </a:r>
        </a:p>
        <a:p>
          <a:r>
            <a:rPr lang="en-IN" b="1"/>
            <a:t>Result (Enzo):</a:t>
          </a:r>
          <a:r>
            <a:rPr lang="en-IN"/>
            <a:t> </a:t>
          </a:r>
          <a:r>
            <a:rPr lang="en-IN" b="1"/>
            <a:t>Flagged</a:t>
          </a:r>
          <a:r>
            <a:rPr lang="en-IN"/>
            <a:t> (Attendance is 40%).</a:t>
          </a:r>
        </a:p>
        <a:p>
          <a:br>
            <a:rPr lang="en-IN"/>
          </a:br>
          <a:endParaRPr lang="en-IN"/>
        </a:p>
        <a:p>
          <a:r>
            <a:rPr lang="en-IN" b="1"/>
            <a:t>5. IF with NOT</a:t>
          </a:r>
        </a:p>
        <a:p>
          <a:r>
            <a:rPr lang="en-IN" b="1"/>
            <a:t>Purpose:</a:t>
          </a:r>
          <a:r>
            <a:rPr lang="en-IN"/>
            <a:t> Reverses the logic. Useful for checking if something is </a:t>
          </a:r>
          <a:r>
            <a:rPr lang="en-IN" i="1"/>
            <a:t>not</a:t>
          </a:r>
          <a:r>
            <a:rPr lang="en-IN"/>
            <a:t> a certain value.</a:t>
          </a:r>
        </a:p>
        <a:p>
          <a:r>
            <a:rPr lang="en-IN" b="1"/>
            <a:t>Example:</a:t>
          </a:r>
          <a:r>
            <a:rPr lang="en-IN"/>
            <a:t> If the status is </a:t>
          </a:r>
          <a:r>
            <a:rPr lang="en-IN" b="1"/>
            <a:t>NOT</a:t>
          </a:r>
          <a:r>
            <a:rPr lang="en-IN"/>
            <a:t> "Unpaid", allow them to "Access Report".</a:t>
          </a:r>
        </a:p>
        <a:p>
          <a:r>
            <a:rPr lang="en-IN" b="1"/>
            <a:t>Formula:</a:t>
          </a:r>
          <a:r>
            <a:rPr lang="en-IN"/>
            <a:t>         =IF(NOT(D2="Unpaid"), "Access Report", "Blocked")</a:t>
          </a:r>
        </a:p>
        <a:p>
          <a:r>
            <a:rPr lang="en-IN" b="1"/>
            <a:t>Result (Chris):</a:t>
          </a:r>
          <a:r>
            <a:rPr lang="en-IN"/>
            <a:t> </a:t>
          </a:r>
          <a:r>
            <a:rPr lang="en-IN" b="1"/>
            <a:t>Blocked</a:t>
          </a:r>
          <a:endParaRPr lang="en-IN"/>
        </a:p>
        <a:p>
          <a:br>
            <a:rPr lang="en-IN"/>
          </a:br>
          <a:endParaRPr lang="en-IN"/>
        </a:p>
        <a:p>
          <a:r>
            <a:rPr lang="en-IN" b="1"/>
            <a:t>6. The IFS Function (The Modern Upgrade)</a:t>
          </a:r>
        </a:p>
        <a:p>
          <a:r>
            <a:rPr lang="en-IN" b="1"/>
            <a:t>Purpose:</a:t>
          </a:r>
          <a:r>
            <a:rPr lang="en-IN"/>
            <a:t> Handles multiple conditions without the messy "Nested IF" brackets. It’s cleaner and easier to read.</a:t>
          </a:r>
        </a:p>
        <a:p>
          <a:r>
            <a:rPr lang="en-IN" b="1"/>
            <a:t>Syntax: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=IFS(test1, value1, test2, value2, ...)</a:t>
          </a:r>
          <a:endParaRPr lang="en-IN"/>
        </a:p>
        <a:p>
          <a:r>
            <a:rPr lang="en-IN" b="1"/>
            <a:t>Example:</a:t>
          </a:r>
          <a:r>
            <a:rPr lang="en-IN"/>
            <a:t> Define the student's level: 90+ is "Expert", 70+ is "Intermediate", &lt;70 is "Beginner".</a:t>
          </a:r>
        </a:p>
        <a:p>
          <a:r>
            <a:rPr lang="en-IN" b="1"/>
            <a:t>Formula:</a:t>
          </a:r>
          <a:r>
            <a:rPr lang="en-IN"/>
            <a:t>               =IFS(B2&gt;=90, "Expert", B2&gt;=70, "Intermediate", B2&lt;70, "Beginner")</a:t>
          </a:r>
        </a:p>
        <a:p>
          <a:r>
            <a:rPr lang="en-IN" b="1"/>
            <a:t>Result (Dana):</a:t>
          </a:r>
          <a:r>
            <a:rPr lang="en-IN"/>
            <a:t> </a:t>
          </a:r>
          <a:r>
            <a:rPr lang="en-IN" b="1"/>
            <a:t>Beginner</a:t>
          </a:r>
          <a:endParaRPr lang="en-IN"/>
        </a:p>
        <a:p>
          <a:br>
            <a:rPr lang="en-IN"/>
          </a:br>
          <a:endParaRPr lang="en-IN"/>
        </a:p>
        <a:p>
          <a:r>
            <a:rPr lang="en-IN" b="1"/>
            <a:t>💡 Pro-Tip: The "TRUE" Catch-All</a:t>
          </a:r>
        </a:p>
        <a:p>
          <a:r>
            <a:rPr lang="en-IN"/>
            <a:t>In an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IFS</a:t>
          </a:r>
          <a:r>
            <a:rPr lang="en-IN"/>
            <a:t> function, if none of the conditions are met, Excel returns an error. To prevent this, make your very last condition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TRUE</a:t>
          </a:r>
          <a:r>
            <a:rPr lang="en-IN"/>
            <a:t>.</a:t>
          </a:r>
        </a:p>
        <a:p>
          <a:r>
            <a:rPr lang="en-IN" b="1"/>
            <a:t>Example:</a:t>
          </a:r>
          <a:r>
            <a:rPr lang="en-IN"/>
            <a:t>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=IFS(B2&gt;90, "A", B2&gt;80, "B", TRUE, "Check Score")</a:t>
          </a:r>
          <a:r>
            <a:rPr lang="en-IN"/>
            <a:t>. This ensures that if the score doesn't fit the first two, it defaults to "Check Score" instead of an error.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5</xdr:col>
      <xdr:colOff>1162050</xdr:colOff>
      <xdr:row>33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892839-0F33-4DCC-BA67-C1107F005194}"/>
            </a:ext>
          </a:extLst>
        </xdr:cNvPr>
        <xdr:cNvSpPr txBox="1"/>
      </xdr:nvSpPr>
      <xdr:spPr>
        <a:xfrm>
          <a:off x="609600" y="3149600"/>
          <a:ext cx="5772150" cy="3295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Overview (Basic &amp; Extrema)</a:t>
          </a:r>
        </a:p>
        <a:p>
          <a:r>
            <a:rPr lang="en-IN" b="1"/>
            <a:t>Total Monthly Sales:</a:t>
          </a:r>
          <a:r>
            <a:rPr lang="en-IN"/>
            <a:t> Calculate the total sales for the whole company.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SUM</a:t>
          </a:r>
          <a:r>
            <a:rPr lang="en-IN"/>
            <a:t>)</a:t>
          </a:r>
        </a:p>
        <a:p>
          <a:r>
            <a:rPr lang="en-IN" b="1"/>
            <a:t>Star Performer:</a:t>
          </a:r>
          <a:r>
            <a:rPr lang="en-IN"/>
            <a:t> Find the highest sales figure recorded.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MAX</a:t>
          </a:r>
          <a:r>
            <a:rPr lang="en-IN"/>
            <a:t>)</a:t>
          </a:r>
        </a:p>
        <a:p>
          <a:r>
            <a:rPr lang="en-IN" b="1"/>
            <a:t>Lowest Sales:</a:t>
          </a:r>
          <a:r>
            <a:rPr lang="en-IN"/>
            <a:t> Find the lowest sales figure recorded.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MIN</a:t>
          </a:r>
          <a:r>
            <a:rPr lang="en-IN"/>
            <a:t>)</a:t>
          </a:r>
        </a:p>
        <a:p>
          <a:r>
            <a:rPr lang="en-IN" b="1"/>
            <a:t>Average Rating:</a:t>
          </a:r>
          <a:r>
            <a:rPr lang="en-IN"/>
            <a:t> What is the average performance rating?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AVERAGE</a:t>
          </a:r>
          <a:r>
            <a:rPr lang="en-IN"/>
            <a:t>)</a:t>
          </a:r>
        </a:p>
        <a:p>
          <a:endParaRPr lang="en-IN"/>
        </a:p>
        <a:p>
          <a:r>
            <a:rPr lang="en-IN" b="1"/>
            <a:t>2. The Deep Dive (Conditionals)</a:t>
          </a:r>
        </a:p>
        <a:p>
          <a:r>
            <a:rPr lang="en-IN" b="1"/>
            <a:t>Sales Dept Total:</a:t>
          </a:r>
          <a:r>
            <a:rPr lang="en-IN"/>
            <a:t> Calculate the total sales </a:t>
          </a:r>
          <a:r>
            <a:rPr lang="en-IN" b="1"/>
            <a:t>only</a:t>
          </a:r>
          <a:r>
            <a:rPr lang="en-IN"/>
            <a:t> for the "Sales" department.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SUMIF</a:t>
          </a:r>
          <a:r>
            <a:rPr lang="en-IN"/>
            <a:t>)</a:t>
          </a:r>
        </a:p>
        <a:p>
          <a:r>
            <a:rPr lang="en-IN" b="1"/>
            <a:t>High-End Sales Count:</a:t>
          </a:r>
          <a:r>
            <a:rPr lang="en-IN"/>
            <a:t> Count how many employees had sales </a:t>
          </a:r>
          <a:r>
            <a:rPr lang="en-IN" b="1"/>
            <a:t>greater than $10,000</a:t>
          </a:r>
          <a:r>
            <a:rPr lang="en-IN"/>
            <a:t>.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COUNTIF</a:t>
          </a:r>
          <a:r>
            <a:rPr lang="en-IN"/>
            <a:t>)</a:t>
          </a:r>
        </a:p>
        <a:p>
          <a:r>
            <a:rPr lang="en-IN" b="1"/>
            <a:t>IT Average Rating:</a:t>
          </a:r>
          <a:r>
            <a:rPr lang="en-IN"/>
            <a:t> What is the average rating for the "IT" department?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AVERAGEIF</a:t>
          </a:r>
          <a:r>
            <a:rPr lang="en-IN"/>
            <a:t>)</a:t>
          </a:r>
        </a:p>
        <a:p>
          <a:endParaRPr lang="en-IN"/>
        </a:p>
        <a:p>
          <a:r>
            <a:rPr lang="en-IN" b="1"/>
            <a:t>3. The Logic (Decision Making)</a:t>
          </a:r>
        </a:p>
        <a:p>
          <a:r>
            <a:rPr lang="en-IN" b="1"/>
            <a:t>Bonus Eligibility (IF/AND):</a:t>
          </a:r>
          <a:r>
            <a:rPr lang="en-IN"/>
            <a:t> In Column F, mark as </a:t>
          </a:r>
          <a:r>
            <a:rPr lang="en-IN" b="1"/>
            <a:t>"Bonus"</a:t>
          </a:r>
          <a:r>
            <a:rPr lang="en-IN"/>
            <a:t> if their Sales are &gt; $8,000 </a:t>
          </a:r>
          <a:r>
            <a:rPr lang="en-IN" b="1"/>
            <a:t>AND</a:t>
          </a:r>
          <a:r>
            <a:rPr lang="en-IN"/>
            <a:t> their Rating is 5. Otherwise, mark as </a:t>
          </a:r>
          <a:r>
            <a:rPr lang="en-IN" b="1"/>
            <a:t>"No"</a:t>
          </a:r>
          <a:r>
            <a:rPr lang="en-IN"/>
            <a:t>.</a:t>
          </a:r>
        </a:p>
        <a:p>
          <a:r>
            <a:rPr lang="en-IN" b="1"/>
            <a:t>Performance Label (IFS):</a:t>
          </a:r>
          <a:r>
            <a:rPr lang="en-IN"/>
            <a:t> In Column G, categorize employees:</a:t>
          </a:r>
        </a:p>
        <a:p>
          <a:pPr lvl="1"/>
          <a:r>
            <a:rPr lang="en-IN"/>
            <a:t>Rating 5: "Elite"</a:t>
          </a:r>
        </a:p>
        <a:p>
          <a:pPr lvl="1"/>
          <a:r>
            <a:rPr lang="en-IN"/>
            <a:t>Rating 3-4: "Solid"</a:t>
          </a:r>
        </a:p>
        <a:p>
          <a:pPr lvl="1"/>
          <a:r>
            <a:rPr lang="en-IN"/>
            <a:t>Rating 1-2: "Action Required"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BDD-DAEB-4C59-A407-69F90F8B2704}">
  <dimension ref="A1:C12"/>
  <sheetViews>
    <sheetView zoomScale="145" zoomScaleNormal="145" workbookViewId="0">
      <selection activeCell="C10" sqref="C10:C12"/>
    </sheetView>
  </sheetViews>
  <sheetFormatPr defaultRowHeight="14.4" x14ac:dyDescent="0.3"/>
  <cols>
    <col min="1" max="1" width="16.6640625" customWidth="1"/>
    <col min="2" max="2" width="13.88671875" customWidth="1"/>
    <col min="3" max="3" width="15.44140625" customWidth="1"/>
  </cols>
  <sheetData>
    <row r="1" spans="1:3" ht="15" thickBot="1" x14ac:dyDescent="0.35">
      <c r="A1" s="1" t="s">
        <v>5</v>
      </c>
      <c r="B1" s="1" t="s">
        <v>6</v>
      </c>
      <c r="C1" s="2" t="s">
        <v>7</v>
      </c>
    </row>
    <row r="2" spans="1:3" ht="15" thickBot="1" x14ac:dyDescent="0.35">
      <c r="A2" s="1" t="s">
        <v>0</v>
      </c>
      <c r="B2" s="1" t="s">
        <v>1</v>
      </c>
      <c r="C2" s="3">
        <v>500</v>
      </c>
    </row>
    <row r="3" spans="1:3" ht="15" thickBot="1" x14ac:dyDescent="0.35">
      <c r="A3" s="1" t="s">
        <v>2</v>
      </c>
      <c r="B3" s="1" t="s">
        <v>3</v>
      </c>
      <c r="C3" s="3">
        <v>300</v>
      </c>
    </row>
    <row r="4" spans="1:3" ht="15" thickBot="1" x14ac:dyDescent="0.35">
      <c r="A4" s="1" t="s">
        <v>0</v>
      </c>
      <c r="B4" s="1" t="s">
        <v>3</v>
      </c>
      <c r="C4" s="3">
        <v>400</v>
      </c>
    </row>
    <row r="5" spans="1:3" ht="15" thickBot="1" x14ac:dyDescent="0.35">
      <c r="A5" s="1" t="s">
        <v>4</v>
      </c>
      <c r="B5" s="1" t="s">
        <v>1</v>
      </c>
      <c r="C5" s="3">
        <v>600</v>
      </c>
    </row>
    <row r="6" spans="1:3" ht="15" thickBot="1" x14ac:dyDescent="0.35">
      <c r="A6" s="1" t="s">
        <v>2</v>
      </c>
      <c r="B6" s="1" t="s">
        <v>1</v>
      </c>
      <c r="C6" s="3">
        <v>200</v>
      </c>
    </row>
    <row r="7" spans="1:3" ht="15" thickBot="1" x14ac:dyDescent="0.35">
      <c r="A7" s="1" t="s">
        <v>0</v>
      </c>
      <c r="B7" s="1" t="s">
        <v>3</v>
      </c>
      <c r="C7" s="3">
        <v>1000</v>
      </c>
    </row>
    <row r="9" spans="1:3" x14ac:dyDescent="0.3">
      <c r="A9" s="16" t="s">
        <v>60</v>
      </c>
      <c r="B9" s="16"/>
    </row>
    <row r="10" spans="1:3" x14ac:dyDescent="0.3">
      <c r="A10">
        <v>1</v>
      </c>
      <c r="B10" s="17">
        <f>SUM(C2:C7)</f>
        <v>3000</v>
      </c>
      <c r="C10" t="str">
        <f ca="1">_xlfn.FORMULATEXT(B10)</f>
        <v>=SUM(C2:C7)</v>
      </c>
    </row>
    <row r="11" spans="1:3" x14ac:dyDescent="0.3">
      <c r="A11">
        <v>2</v>
      </c>
      <c r="B11" s="17">
        <f>SUMIF(B2:B7,"North",C2:C7)</f>
        <v>1300</v>
      </c>
      <c r="C11" t="str">
        <f t="shared" ref="C11:C12" ca="1" si="0">_xlfn.FORMULATEXT(B11)</f>
        <v>=SUMIF(B2:B7,"North",C2:C7)</v>
      </c>
    </row>
    <row r="12" spans="1:3" x14ac:dyDescent="0.3">
      <c r="A12">
        <v>3</v>
      </c>
      <c r="B12" s="17">
        <f>SUMIFS(C2:C6, A2:A6, "Alice", B2:B6, "North")</f>
        <v>500</v>
      </c>
      <c r="C12" t="str">
        <f t="shared" ca="1" si="0"/>
        <v>=SUMIFS(C2:C6, A2:A6, "Alice", B2:B6, "North")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5B68-FBC8-4C03-AE19-EE7A62AE5E36}">
  <dimension ref="A1:C12"/>
  <sheetViews>
    <sheetView zoomScale="115" zoomScaleNormal="115" workbookViewId="0">
      <selection activeCell="C10" sqref="C10:C12"/>
    </sheetView>
  </sheetViews>
  <sheetFormatPr defaultRowHeight="14.4" x14ac:dyDescent="0.3"/>
  <cols>
    <col min="1" max="1" width="23" customWidth="1"/>
    <col min="2" max="2" width="15.88671875" customWidth="1"/>
    <col min="3" max="3" width="15.109375" customWidth="1"/>
  </cols>
  <sheetData>
    <row r="1" spans="1:3" ht="15" thickBot="1" x14ac:dyDescent="0.35">
      <c r="A1" s="4" t="s">
        <v>15</v>
      </c>
      <c r="B1" s="4" t="s">
        <v>16</v>
      </c>
      <c r="C1" s="4" t="s">
        <v>17</v>
      </c>
    </row>
    <row r="2" spans="1:3" ht="15" thickBot="1" x14ac:dyDescent="0.35">
      <c r="A2" s="4" t="s">
        <v>8</v>
      </c>
      <c r="B2" s="4" t="s">
        <v>9</v>
      </c>
      <c r="C2" s="5">
        <v>1200</v>
      </c>
    </row>
    <row r="3" spans="1:3" ht="15" thickBot="1" x14ac:dyDescent="0.35">
      <c r="A3" s="4" t="s">
        <v>10</v>
      </c>
      <c r="B3" s="4" t="s">
        <v>9</v>
      </c>
      <c r="C3" s="5">
        <v>800</v>
      </c>
    </row>
    <row r="4" spans="1:3" ht="15" thickBot="1" x14ac:dyDescent="0.35">
      <c r="A4" s="4" t="s">
        <v>11</v>
      </c>
      <c r="B4" s="4" t="s">
        <v>12</v>
      </c>
      <c r="C4" s="5">
        <v>250</v>
      </c>
    </row>
    <row r="5" spans="1:3" ht="15" thickBot="1" x14ac:dyDescent="0.35">
      <c r="A5" s="4" t="s">
        <v>13</v>
      </c>
      <c r="B5" s="4" t="s">
        <v>12</v>
      </c>
      <c r="C5" s="5">
        <v>450</v>
      </c>
    </row>
    <row r="6" spans="1:3" ht="15" thickBot="1" x14ac:dyDescent="0.35">
      <c r="A6" s="4" t="s">
        <v>14</v>
      </c>
      <c r="B6" s="4" t="s">
        <v>9</v>
      </c>
      <c r="C6" s="5">
        <v>600</v>
      </c>
    </row>
    <row r="9" spans="1:3" x14ac:dyDescent="0.3">
      <c r="A9" s="16" t="s">
        <v>60</v>
      </c>
      <c r="B9" s="16"/>
    </row>
    <row r="10" spans="1:3" x14ac:dyDescent="0.3">
      <c r="A10">
        <v>1</v>
      </c>
      <c r="B10" s="17">
        <f>MAX(C2:C6)</f>
        <v>1200</v>
      </c>
      <c r="C10" t="str">
        <f ca="1">_xlfn.FORMULATEXT(B10)</f>
        <v>=MAX(C2:C6)</v>
      </c>
    </row>
    <row r="11" spans="1:3" x14ac:dyDescent="0.3">
      <c r="A11">
        <v>2</v>
      </c>
      <c r="B11" s="17">
        <f>_xlfn.MAXIFS(C2:C6,B2:B6,"Electronics")</f>
        <v>1200</v>
      </c>
      <c r="C11" t="str">
        <f t="shared" ref="C11:C12" ca="1" si="0">_xlfn.FORMULATEXT(B11)</f>
        <v>=MAXIFS(C2:C6,B2:B6,"Electronics")</v>
      </c>
    </row>
    <row r="12" spans="1:3" x14ac:dyDescent="0.3">
      <c r="B12">
        <f>_xlfn.MAXIFS(C2:C6,B2:B6,"Furniture",C2:C6,"&lt;300")</f>
        <v>250</v>
      </c>
      <c r="C12" t="str">
        <f t="shared" ca="1" si="0"/>
        <v>=MAXIFS(C2:C6,B2:B6,"Furniture",C2:C6,"&lt;300")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1115-4A85-4870-A98C-D5FE40DB70B7}">
  <dimension ref="A1:C12"/>
  <sheetViews>
    <sheetView workbookViewId="0">
      <selection activeCell="C11" sqref="C11:C12"/>
    </sheetView>
  </sheetViews>
  <sheetFormatPr defaultRowHeight="14.4" x14ac:dyDescent="0.3"/>
  <cols>
    <col min="1" max="1" width="16.33203125" customWidth="1"/>
    <col min="2" max="2" width="16.88671875" customWidth="1"/>
  </cols>
  <sheetData>
    <row r="1" spans="1:3" ht="15" thickBot="1" x14ac:dyDescent="0.35">
      <c r="A1" s="1" t="s">
        <v>15</v>
      </c>
      <c r="B1" s="1" t="s">
        <v>16</v>
      </c>
      <c r="C1" s="1" t="s">
        <v>17</v>
      </c>
    </row>
    <row r="2" spans="1:3" ht="15" thickBot="1" x14ac:dyDescent="0.35">
      <c r="A2" s="1" t="s">
        <v>8</v>
      </c>
      <c r="B2" s="1" t="s">
        <v>9</v>
      </c>
      <c r="C2" s="3">
        <v>1200</v>
      </c>
    </row>
    <row r="3" spans="1:3" ht="15" thickBot="1" x14ac:dyDescent="0.35">
      <c r="A3" s="1" t="s">
        <v>10</v>
      </c>
      <c r="B3" s="1" t="s">
        <v>9</v>
      </c>
      <c r="C3" s="3">
        <v>800</v>
      </c>
    </row>
    <row r="4" spans="1:3" ht="15" thickBot="1" x14ac:dyDescent="0.35">
      <c r="A4" s="1" t="s">
        <v>11</v>
      </c>
      <c r="B4" s="1" t="s">
        <v>12</v>
      </c>
      <c r="C4" s="3">
        <v>250</v>
      </c>
    </row>
    <row r="5" spans="1:3" ht="15" thickBot="1" x14ac:dyDescent="0.35">
      <c r="A5" s="1" t="s">
        <v>13</v>
      </c>
      <c r="B5" s="1" t="s">
        <v>12</v>
      </c>
      <c r="C5" s="3">
        <v>450</v>
      </c>
    </row>
    <row r="6" spans="1:3" ht="15" thickBot="1" x14ac:dyDescent="0.35">
      <c r="A6" s="1" t="s">
        <v>14</v>
      </c>
      <c r="B6" s="1" t="s">
        <v>9</v>
      </c>
      <c r="C6" s="3">
        <v>600</v>
      </c>
    </row>
    <row r="10" spans="1:3" ht="27" x14ac:dyDescent="0.3">
      <c r="A10" s="16" t="s">
        <v>60</v>
      </c>
      <c r="B10" s="16"/>
    </row>
    <row r="11" spans="1:3" x14ac:dyDescent="0.3">
      <c r="A11">
        <v>1</v>
      </c>
      <c r="B11" s="17">
        <f>MIN(C2:C6)</f>
        <v>250</v>
      </c>
      <c r="C11" t="str">
        <f ca="1">_xlfn.FORMULATEXT(B11)</f>
        <v>=MIN(C2:C6)</v>
      </c>
    </row>
    <row r="12" spans="1:3" x14ac:dyDescent="0.3">
      <c r="A12">
        <v>2</v>
      </c>
      <c r="B12" s="17">
        <f>_xlfn.MINIFS(C2:C6, B2:B6, "Electronics")</f>
        <v>600</v>
      </c>
      <c r="C12" t="str">
        <f ca="1">_xlfn.FORMULATEXT(B12)</f>
        <v>=MINIFS(C2:C6, B2:B6, "Electronics")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205F-E471-4FDB-8AC4-B9C84848105D}">
  <dimension ref="A1:C13"/>
  <sheetViews>
    <sheetView workbookViewId="0">
      <selection activeCell="B20" sqref="B20"/>
    </sheetView>
  </sheetViews>
  <sheetFormatPr defaultRowHeight="14.4" x14ac:dyDescent="0.3"/>
  <cols>
    <col min="1" max="1" width="16.109375" customWidth="1"/>
    <col min="2" max="2" width="15.5546875" customWidth="1"/>
    <col min="3" max="3" width="13.109375" customWidth="1"/>
  </cols>
  <sheetData>
    <row r="1" spans="1:3" ht="15" thickBot="1" x14ac:dyDescent="0.35">
      <c r="A1" s="1" t="s">
        <v>26</v>
      </c>
      <c r="B1" s="1" t="s">
        <v>27</v>
      </c>
      <c r="C1" s="1" t="s">
        <v>28</v>
      </c>
    </row>
    <row r="2" spans="1:3" ht="15" thickBot="1" x14ac:dyDescent="0.35">
      <c r="A2" s="1" t="s">
        <v>18</v>
      </c>
      <c r="B2" s="1" t="s">
        <v>19</v>
      </c>
      <c r="C2" s="3">
        <v>55000</v>
      </c>
    </row>
    <row r="3" spans="1:3" ht="15" thickBot="1" x14ac:dyDescent="0.35">
      <c r="A3" s="1" t="s">
        <v>20</v>
      </c>
      <c r="B3" s="1" t="s">
        <v>21</v>
      </c>
      <c r="C3" s="3">
        <v>75000</v>
      </c>
    </row>
    <row r="4" spans="1:3" ht="15" thickBot="1" x14ac:dyDescent="0.35">
      <c r="A4" s="1" t="s">
        <v>18</v>
      </c>
      <c r="B4" s="1" t="s">
        <v>22</v>
      </c>
      <c r="C4" s="3">
        <v>62000</v>
      </c>
    </row>
    <row r="5" spans="1:3" ht="15" thickBot="1" x14ac:dyDescent="0.35">
      <c r="A5" s="1" t="s">
        <v>20</v>
      </c>
      <c r="B5" s="1" t="s">
        <v>23</v>
      </c>
      <c r="C5" s="3">
        <v>80000</v>
      </c>
    </row>
    <row r="6" spans="1:3" ht="15" thickBot="1" x14ac:dyDescent="0.35">
      <c r="A6" s="1" t="s">
        <v>24</v>
      </c>
      <c r="B6" s="1" t="s">
        <v>25</v>
      </c>
      <c r="C6" s="3">
        <v>50000</v>
      </c>
    </row>
    <row r="10" spans="1:3" ht="27" x14ac:dyDescent="0.3">
      <c r="A10" s="16" t="s">
        <v>60</v>
      </c>
      <c r="B10" s="16"/>
    </row>
    <row r="11" spans="1:3" x14ac:dyDescent="0.3">
      <c r="A11">
        <v>1</v>
      </c>
      <c r="B11" s="17">
        <f>AVERAGE(C2:C6)</f>
        <v>64400</v>
      </c>
      <c r="C11" t="str">
        <f ca="1">_xlfn.FORMULATEXT(B11)</f>
        <v>=AVERAGE(C2:C6)</v>
      </c>
    </row>
    <row r="12" spans="1:3" x14ac:dyDescent="0.3">
      <c r="A12">
        <v>2</v>
      </c>
      <c r="B12" s="17">
        <f>AVERAGEIF(A2:A6,"IT",C2:C6)</f>
        <v>77500</v>
      </c>
      <c r="C12" t="str">
        <f t="shared" ref="C12:C13" ca="1" si="0">_xlfn.FORMULATEXT(B12)</f>
        <v>=AVERAGEIF(A2:A6,"IT",C2:C6)</v>
      </c>
    </row>
    <row r="13" spans="1:3" x14ac:dyDescent="0.3">
      <c r="A13">
        <v>3</v>
      </c>
      <c r="B13" s="17">
        <f>AVERAGEIFS(C2:C6,A2:A6,"Marketing",C2:C6,"&gt;60,000")</f>
        <v>62000</v>
      </c>
      <c r="C13" t="str">
        <f t="shared" ca="1" si="0"/>
        <v>=AVERAGEIFS(C2:C6,A2:A6,"Marketing",C2:C6,"&gt;60,000")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091F-F345-45EE-861C-2DBF0175A7DE}">
  <dimension ref="A1:C14"/>
  <sheetViews>
    <sheetView topLeftCell="A4" zoomScaleNormal="100" workbookViewId="0">
      <selection activeCell="C23" sqref="C23"/>
    </sheetView>
  </sheetViews>
  <sheetFormatPr defaultRowHeight="14.4" x14ac:dyDescent="0.3"/>
  <cols>
    <col min="1" max="1" width="18.44140625" customWidth="1"/>
    <col min="2" max="2" width="15.109375" customWidth="1"/>
    <col min="3" max="3" width="26.44140625" customWidth="1"/>
  </cols>
  <sheetData>
    <row r="1" spans="1:3" ht="15" thickBot="1" x14ac:dyDescent="0.35">
      <c r="A1" s="6" t="s">
        <v>36</v>
      </c>
      <c r="B1" s="6" t="s">
        <v>38</v>
      </c>
      <c r="C1" s="6" t="s">
        <v>37</v>
      </c>
    </row>
    <row r="2" spans="1:3" ht="15" thickBot="1" x14ac:dyDescent="0.35">
      <c r="A2" s="7" t="s">
        <v>29</v>
      </c>
      <c r="B2" s="7" t="s">
        <v>19</v>
      </c>
      <c r="C2" s="7">
        <v>5</v>
      </c>
    </row>
    <row r="3" spans="1:3" ht="15" thickBot="1" x14ac:dyDescent="0.35">
      <c r="A3" s="7" t="s">
        <v>30</v>
      </c>
      <c r="B3" s="7" t="s">
        <v>31</v>
      </c>
      <c r="C3" s="7">
        <v>12</v>
      </c>
    </row>
    <row r="4" spans="1:3" ht="15" thickBot="1" x14ac:dyDescent="0.35">
      <c r="A4" s="7" t="s">
        <v>32</v>
      </c>
      <c r="B4" s="7" t="s">
        <v>19</v>
      </c>
      <c r="C4" s="7">
        <v>3</v>
      </c>
    </row>
    <row r="5" spans="1:3" ht="15" thickBot="1" x14ac:dyDescent="0.35">
      <c r="A5" s="7" t="s">
        <v>33</v>
      </c>
      <c r="B5" s="7" t="s">
        <v>2</v>
      </c>
      <c r="C5" s="6" t="s">
        <v>34</v>
      </c>
    </row>
    <row r="6" spans="1:3" ht="15" thickBot="1" x14ac:dyDescent="0.35">
      <c r="A6" s="7" t="s">
        <v>35</v>
      </c>
      <c r="B6" s="8"/>
      <c r="C6" s="7">
        <v>2</v>
      </c>
    </row>
    <row r="10" spans="1:3" x14ac:dyDescent="0.3">
      <c r="A10" s="16" t="s">
        <v>60</v>
      </c>
      <c r="B10" s="16"/>
    </row>
    <row r="11" spans="1:3" x14ac:dyDescent="0.3">
      <c r="A11">
        <v>1</v>
      </c>
      <c r="B11" s="17">
        <f>COUNT(C2:C6)</f>
        <v>4</v>
      </c>
      <c r="C11" t="str">
        <f ca="1">_xlfn.FORMULATEXT(B11)</f>
        <v>=COUNT(C2:C6)</v>
      </c>
    </row>
    <row r="12" spans="1:3" x14ac:dyDescent="0.3">
      <c r="A12">
        <v>2</v>
      </c>
      <c r="B12" s="17">
        <f>COUNTA(B2:B6)</f>
        <v>4</v>
      </c>
      <c r="C12" t="str">
        <f t="shared" ref="C12:C14" ca="1" si="0">_xlfn.FORMULATEXT(B12)</f>
        <v>=COUNTA(B2:B6)</v>
      </c>
    </row>
    <row r="13" spans="1:3" x14ac:dyDescent="0.3">
      <c r="A13">
        <v>3</v>
      </c>
      <c r="B13" s="17">
        <f>COUNTIF(B2:B6,"Sarah")</f>
        <v>2</v>
      </c>
      <c r="C13" t="str">
        <f t="shared" ca="1" si="0"/>
        <v>=COUNTIF(B2:B6,"Sarah")</v>
      </c>
    </row>
    <row r="14" spans="1:3" x14ac:dyDescent="0.3">
      <c r="A14">
        <v>4</v>
      </c>
      <c r="B14" s="17">
        <f>COUNTIFS(B2:B6,"Sarah",C2:C6,"&gt;4")</f>
        <v>1</v>
      </c>
      <c r="C14" t="str">
        <f t="shared" ca="1" si="0"/>
        <v>=COUNTIFS(B2:B6,"Sarah",C2:C6,"&gt;4")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5555-4203-47FC-A901-57266D4BD1DA}">
  <dimension ref="A1:D17"/>
  <sheetViews>
    <sheetView tabSelected="1" topLeftCell="A13" workbookViewId="0">
      <selection activeCell="C16" sqref="C16"/>
    </sheetView>
  </sheetViews>
  <sheetFormatPr defaultRowHeight="14.4" x14ac:dyDescent="0.3"/>
  <cols>
    <col min="1" max="1" width="16.5546875" customWidth="1"/>
    <col min="2" max="2" width="16.109375" customWidth="1"/>
    <col min="3" max="3" width="15.6640625" customWidth="1"/>
    <col min="4" max="4" width="20.6640625" customWidth="1"/>
  </cols>
  <sheetData>
    <row r="1" spans="1:4" ht="15" thickBot="1" x14ac:dyDescent="0.35">
      <c r="A1" s="9" t="s">
        <v>46</v>
      </c>
      <c r="B1" s="9" t="s">
        <v>47</v>
      </c>
      <c r="C1" s="9" t="s">
        <v>48</v>
      </c>
      <c r="D1" s="9" t="s">
        <v>49</v>
      </c>
    </row>
    <row r="2" spans="1:4" ht="15" thickBot="1" x14ac:dyDescent="0.35">
      <c r="A2" s="10" t="s">
        <v>39</v>
      </c>
      <c r="B2" s="10">
        <v>92</v>
      </c>
      <c r="C2" s="10">
        <v>95</v>
      </c>
      <c r="D2" s="10" t="s">
        <v>40</v>
      </c>
    </row>
    <row r="3" spans="1:4" ht="15" thickBot="1" x14ac:dyDescent="0.35">
      <c r="A3" s="10" t="s">
        <v>41</v>
      </c>
      <c r="B3" s="10">
        <v>45</v>
      </c>
      <c r="C3" s="10">
        <v>88</v>
      </c>
      <c r="D3" s="10" t="s">
        <v>40</v>
      </c>
    </row>
    <row r="4" spans="1:4" ht="15" thickBot="1" x14ac:dyDescent="0.35">
      <c r="A4" s="10" t="s">
        <v>42</v>
      </c>
      <c r="B4" s="10">
        <v>78</v>
      </c>
      <c r="C4" s="10">
        <v>75</v>
      </c>
      <c r="D4" s="10" t="s">
        <v>43</v>
      </c>
    </row>
    <row r="5" spans="1:4" ht="15" thickBot="1" x14ac:dyDescent="0.35">
      <c r="A5" s="10" t="s">
        <v>44</v>
      </c>
      <c r="B5" s="10">
        <v>65</v>
      </c>
      <c r="C5" s="10">
        <v>92</v>
      </c>
      <c r="D5" s="10" t="s">
        <v>40</v>
      </c>
    </row>
    <row r="6" spans="1:4" ht="15" thickBot="1" x14ac:dyDescent="0.35">
      <c r="A6" s="10" t="s">
        <v>45</v>
      </c>
      <c r="B6" s="10">
        <v>88</v>
      </c>
      <c r="C6" s="10">
        <v>40</v>
      </c>
      <c r="D6" s="10" t="s">
        <v>40</v>
      </c>
    </row>
    <row r="11" spans="1:4" ht="27" x14ac:dyDescent="0.3">
      <c r="B11" s="16" t="s">
        <v>60</v>
      </c>
      <c r="C11" s="16"/>
    </row>
    <row r="12" spans="1:4" x14ac:dyDescent="0.3">
      <c r="B12">
        <v>1</v>
      </c>
      <c r="C12" s="18" t="str">
        <f>IF(B2&gt;=50, "Pass", "Fail")</f>
        <v>Pass</v>
      </c>
    </row>
    <row r="13" spans="1:4" x14ac:dyDescent="0.3">
      <c r="B13">
        <v>2</v>
      </c>
      <c r="C13" s="17" t="str">
        <f>IF(B2&gt;=90,"A",IF(B2&gt;=70,"B","C"))</f>
        <v>A</v>
      </c>
    </row>
    <row r="14" spans="1:4" x14ac:dyDescent="0.3">
      <c r="B14">
        <v>3</v>
      </c>
      <c r="C14" s="17" t="str">
        <f>IF(AND(B2&gt;80,C2&gt;90),"Bonus","Non Bonus")</f>
        <v>Bonus</v>
      </c>
    </row>
    <row r="15" spans="1:4" x14ac:dyDescent="0.3">
      <c r="B15">
        <v>4</v>
      </c>
      <c r="C15" s="17" t="str">
        <f>IF(OR(B2&lt;50,C2&lt;50),"Flagged","Clear")</f>
        <v>Clear</v>
      </c>
    </row>
    <row r="16" spans="1:4" x14ac:dyDescent="0.3">
      <c r="B16">
        <v>5</v>
      </c>
      <c r="C16" s="18"/>
    </row>
    <row r="17" spans="2:3" x14ac:dyDescent="0.3">
      <c r="B17">
        <v>6</v>
      </c>
      <c r="C17" s="18" t="str">
        <f>_xlfn.IFS(B2&gt;=90, "Expert", B2&gt;=70, "Intermediate", B2&lt;70, "Beginner")</f>
        <v>Expert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62C-3BDD-440F-8C6A-45D722492688}">
  <dimension ref="B1:G19"/>
  <sheetViews>
    <sheetView topLeftCell="B1" workbookViewId="0">
      <selection activeCell="E36" sqref="E36"/>
    </sheetView>
  </sheetViews>
  <sheetFormatPr defaultRowHeight="14.4" x14ac:dyDescent="0.3"/>
  <cols>
    <col min="2" max="2" width="15.88671875" customWidth="1"/>
    <col min="3" max="3" width="16.109375" customWidth="1"/>
    <col min="4" max="4" width="14.44140625" customWidth="1"/>
    <col min="5" max="5" width="19.44140625" customWidth="1"/>
    <col min="6" max="6" width="18.33203125" customWidth="1"/>
  </cols>
  <sheetData>
    <row r="1" spans="2:6" ht="15.6" x14ac:dyDescent="0.3">
      <c r="B1" s="12" t="s">
        <v>51</v>
      </c>
    </row>
    <row r="3" spans="2:6" ht="15.6" x14ac:dyDescent="0.3">
      <c r="B3" s="13" t="s">
        <v>52</v>
      </c>
    </row>
    <row r="5" spans="2:6" ht="23.4" x14ac:dyDescent="0.3">
      <c r="B5" s="11" t="s">
        <v>50</v>
      </c>
    </row>
    <row r="7" spans="2:6" ht="15" thickBot="1" x14ac:dyDescent="0.35"/>
    <row r="8" spans="2:6" ht="15" thickBot="1" x14ac:dyDescent="0.35">
      <c r="B8" s="14" t="s">
        <v>55</v>
      </c>
      <c r="C8" s="14" t="s">
        <v>56</v>
      </c>
      <c r="D8" s="14" t="s">
        <v>57</v>
      </c>
      <c r="E8" s="14" t="s">
        <v>58</v>
      </c>
      <c r="F8" s="14" t="s">
        <v>59</v>
      </c>
    </row>
    <row r="9" spans="2:6" ht="15" thickBot="1" x14ac:dyDescent="0.35">
      <c r="B9" s="15">
        <v>101</v>
      </c>
      <c r="C9" s="15" t="s">
        <v>19</v>
      </c>
      <c r="D9" s="15" t="s">
        <v>53</v>
      </c>
      <c r="E9" s="15">
        <v>12000</v>
      </c>
      <c r="F9" s="15">
        <v>5</v>
      </c>
    </row>
    <row r="10" spans="2:6" ht="15" thickBot="1" x14ac:dyDescent="0.35">
      <c r="B10" s="15">
        <v>102</v>
      </c>
      <c r="C10" s="15" t="s">
        <v>31</v>
      </c>
      <c r="D10" s="15" t="s">
        <v>20</v>
      </c>
      <c r="E10" s="15">
        <v>0</v>
      </c>
      <c r="F10" s="15">
        <v>4</v>
      </c>
    </row>
    <row r="11" spans="2:6" ht="15" thickBot="1" x14ac:dyDescent="0.35">
      <c r="B11" s="15">
        <v>103</v>
      </c>
      <c r="C11" s="15" t="s">
        <v>22</v>
      </c>
      <c r="D11" s="15" t="s">
        <v>53</v>
      </c>
      <c r="E11" s="15">
        <v>8500</v>
      </c>
      <c r="F11" s="15">
        <v>3</v>
      </c>
    </row>
    <row r="12" spans="2:6" ht="15" thickBot="1" x14ac:dyDescent="0.35">
      <c r="B12" s="15">
        <v>104</v>
      </c>
      <c r="C12" s="15" t="s">
        <v>23</v>
      </c>
      <c r="D12" s="15" t="s">
        <v>20</v>
      </c>
      <c r="E12" s="15">
        <v>0</v>
      </c>
      <c r="F12" s="15">
        <v>2</v>
      </c>
    </row>
    <row r="13" spans="2:6" ht="15" thickBot="1" x14ac:dyDescent="0.35">
      <c r="B13" s="15">
        <v>105</v>
      </c>
      <c r="C13" s="15" t="s">
        <v>25</v>
      </c>
      <c r="D13" s="15" t="s">
        <v>53</v>
      </c>
      <c r="E13" s="15">
        <v>15000</v>
      </c>
      <c r="F13" s="15">
        <v>5</v>
      </c>
    </row>
    <row r="14" spans="2:6" ht="15" thickBot="1" x14ac:dyDescent="0.35">
      <c r="B14" s="15">
        <v>106</v>
      </c>
      <c r="C14" s="15" t="s">
        <v>54</v>
      </c>
      <c r="D14" s="15" t="s">
        <v>53</v>
      </c>
      <c r="E14" s="15">
        <v>4200</v>
      </c>
      <c r="F14" s="15">
        <v>1</v>
      </c>
    </row>
    <row r="19" spans="7:7" x14ac:dyDescent="0.3">
      <c r="G19" s="19">
        <f>MAX(D9:D14)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</vt:lpstr>
      <vt:lpstr>MAX</vt:lpstr>
      <vt:lpstr>MIN</vt:lpstr>
      <vt:lpstr>AVERAGE</vt:lpstr>
      <vt:lpstr>COUNT</vt:lpstr>
      <vt:lpstr>IF</vt:lpstr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Malusare</dc:creator>
  <cp:lastModifiedBy>vedanti kingri</cp:lastModifiedBy>
  <dcterms:created xsi:type="dcterms:W3CDTF">2026-01-29T04:15:06Z</dcterms:created>
  <dcterms:modified xsi:type="dcterms:W3CDTF">2026-06-02T10:03:13Z</dcterms:modified>
</cp:coreProperties>
</file>