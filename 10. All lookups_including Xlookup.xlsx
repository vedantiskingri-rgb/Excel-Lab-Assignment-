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Assignment H.W\Excle\3-6-2026\"/>
    </mc:Choice>
  </mc:AlternateContent>
  <xr:revisionPtr revIDLastSave="0" documentId="13_ncr:1_{4680FFA0-7F55-4F7C-B2D1-019F817BEECF}" xr6:coauthVersionLast="47" xr6:coauthVersionMax="47" xr10:uidLastSave="{00000000-0000-0000-0000-000000000000}"/>
  <bookViews>
    <workbookView xWindow="-108" yWindow="-108" windowWidth="23256" windowHeight="13176" xr2:uid="{E018A002-5019-4CC3-BE2B-94B37097AF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B46" i="1"/>
  <c r="B96" i="1"/>
  <c r="B52" i="1"/>
  <c r="B101" i="1"/>
  <c r="B109" i="1"/>
  <c r="B106" i="1"/>
  <c r="B104" i="1"/>
  <c r="B93" i="1"/>
  <c r="B90" i="1"/>
  <c r="B87" i="1"/>
  <c r="B84" i="1"/>
  <c r="B78" i="1" a="1"/>
  <c r="B78" i="1" s="1"/>
  <c r="B75" i="1"/>
  <c r="B72" i="1"/>
  <c r="B69" i="1"/>
  <c r="B66" i="1" a="1"/>
  <c r="B66" i="1" s="1"/>
  <c r="B63" i="1"/>
  <c r="B60" i="1"/>
  <c r="B57" i="1"/>
  <c r="B49" i="1"/>
  <c r="B43" i="1"/>
  <c r="B40" i="1"/>
  <c r="C35" i="1"/>
  <c r="C24" i="1"/>
  <c r="C29" i="1"/>
  <c r="C31" i="1"/>
  <c r="C27" i="1" a="1"/>
  <c r="C27" i="1" s="1"/>
  <c r="C26" i="1"/>
  <c r="D35" i="1"/>
  <c r="C93" i="1"/>
  <c r="B67" i="1"/>
  <c r="D24" i="1"/>
  <c r="D29" i="1"/>
  <c r="C43" i="1"/>
  <c r="D31" i="1"/>
  <c r="B79" i="1"/>
  <c r="D27" i="1"/>
  <c r="C106" i="1"/>
  <c r="C49" i="1"/>
  <c r="C84" i="1"/>
  <c r="D26" i="1"/>
  <c r="C104" i="1"/>
  <c r="D63" i="1"/>
  <c r="C109" i="1"/>
  <c r="C60" i="1"/>
  <c r="C75" i="1"/>
  <c r="C101" i="1"/>
  <c r="C90" i="1"/>
  <c r="C57" i="1"/>
  <c r="C72" i="1"/>
  <c r="C40" i="1"/>
  <c r="C87" i="1"/>
  <c r="C96" i="1"/>
  <c r="C6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<sst xmlns="http://schemas.openxmlformats.org/spreadsheetml/2006/main" count="102" uniqueCount="67">
  <si>
    <t>Employee ID</t>
  </si>
  <si>
    <t>Name</t>
  </si>
  <si>
    <t>Region</t>
  </si>
  <si>
    <t>Sales ($)</t>
  </si>
  <si>
    <t>Rating</t>
  </si>
  <si>
    <t>Alan</t>
  </si>
  <si>
    <t>East</t>
  </si>
  <si>
    <t>Beth</t>
  </si>
  <si>
    <t>West</t>
  </si>
  <si>
    <t>Cory</t>
  </si>
  <si>
    <t>North</t>
  </si>
  <si>
    <t>Drew</t>
  </si>
  <si>
    <t>South</t>
  </si>
  <si>
    <t>Eva</t>
  </si>
  <si>
    <t>Finn</t>
  </si>
  <si>
    <t>Gina</t>
  </si>
  <si>
    <t>Hugo</t>
  </si>
  <si>
    <t>Iris</t>
  </si>
  <si>
    <t>Jack</t>
  </si>
  <si>
    <t>Kara</t>
  </si>
  <si>
    <t>Leo</t>
  </si>
  <si>
    <t>Mia</t>
  </si>
  <si>
    <t>Noah</t>
  </si>
  <si>
    <t>Olga</t>
  </si>
  <si>
    <t>Paul</t>
  </si>
  <si>
    <t>Quinn</t>
  </si>
  <si>
    <t>Rose</t>
  </si>
  <si>
    <t>Seth</t>
  </si>
  <si>
    <t>Tara</t>
  </si>
  <si>
    <t>Basic Lookup(Sales for Employee)</t>
  </si>
  <si>
    <t>Left Lookup</t>
  </si>
  <si>
    <t>Error Handling</t>
  </si>
  <si>
    <t>Wildcard Search</t>
  </si>
  <si>
    <t xml:space="preserve">Approximate Match </t>
  </si>
  <si>
    <r>
      <t>Search Mode (Latest Entry):</t>
    </r>
    <r>
      <rPr>
        <sz val="11"/>
        <color rgb="FF000000"/>
        <rFont val="Aptos Narrow"/>
        <family val="2"/>
        <scheme val="minor"/>
      </rPr>
      <t xml:space="preserve"> </t>
    </r>
  </si>
  <si>
    <t>Part 1: The Challenge Questions</t>
  </si>
  <si>
    <t>The 20-Question Challenge</t>
  </si>
  <si>
    <t>1. VLOOKUP – Find the Region for Employee ID 510</t>
  </si>
  <si>
    <t>Ans--&gt;</t>
  </si>
  <si>
    <t>2. VLOOKUP: Find the Rating for Employee ID 505 using a column index number.</t>
  </si>
  <si>
    <t>Ans---&gt;</t>
  </si>
  <si>
    <t>3. VLOOKUP Error – Find Employee ID for "Kara"</t>
  </si>
  <si>
    <t>4. HLOOKUP – Find the word "Rating"</t>
  </si>
  <si>
    <t>5. HLOOKUP – Retrieve the 5th Employee's Sales</t>
  </si>
  <si>
    <t>Category 2: XLOOKUP (The Modern Choice)</t>
  </si>
  <si>
    <t>6. Basic XLOOKUP – Sales for ID 519</t>
  </si>
  <si>
    <t>7. Reverse Lookup – Employee ID for Seth</t>
  </si>
  <si>
    <t>8. Error Handling – Lookup ID 999</t>
  </si>
  <si>
    <t>9. Horizontal XLOOKUP – Sales for ID 502</t>
  </si>
  <si>
    <t>OR</t>
  </si>
  <si>
    <t>10. Wildcard – Region for Name Starting with "Ol"</t>
  </si>
  <si>
    <t>11. Bottom-to-Top Search</t>
  </si>
  <si>
    <t>12. Spill Effect – Return Name, Region &amp; Sales for ID 520</t>
  </si>
  <si>
    <t>Category 3: INDEX-MATCH (The Robust Duo)</t>
  </si>
  <si>
    <t>13. Find Position of Hugo</t>
  </si>
  <si>
    <t>14. Retrieve Value in 4th Column of 8th Row</t>
  </si>
  <si>
    <t>15. Find Sales of Employee 503</t>
  </si>
  <si>
    <t>16. Left Lookup – Name for Sales 3200</t>
  </si>
  <si>
    <t>17. Two-Way Lookup – Rating for Paul</t>
  </si>
  <si>
    <t>Category 4: Pro-Level &amp; Comparative</t>
  </si>
  <si>
    <t>18. Approximate Match – Iris Commission %</t>
  </si>
  <si>
    <t>19. Comparison Question</t>
  </si>
  <si>
    <t>20. Dynamic Range – Region of Employee with MAX Sales</t>
  </si>
  <si>
    <t>=XLOOKUP(18000,$H$2:$H$5,$I$2:$I$5,,-1)</t>
  </si>
  <si>
    <t>=HLOOKUP(505,$B$2:$E$21,3,FALSE)</t>
  </si>
  <si>
    <t>=VLOOKUP("kara",B2:E21,1,FALSE)</t>
  </si>
  <si>
    <t>=XLOOKUP(518,A2:A21,D2:D21)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</si>
</sst>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color rgb="FFF9FAFB"/>
      <name val="Consolas"/>
      <family val="3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 Unicode MS"/>
    </font>
    <font>
      <b/>
      <sz val="14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0" xfId="0" applyFont="1"/>
    <xf numFmtId="0" fontId="4" fillId="0" borderId="0" xfId="0" applyFont="1"/>
    <xf numFmtId="0" fontId="0" fillId="2" borderId="0" xfId="0" applyFill="1"/>
    <xf numFmtId="0" fontId="5" fillId="0" borderId="0" xfId="0" applyFont="1"/>
    <xf numFmtId="0" fontId="0" fillId="0" borderId="0" xfId="0" applyAlignment="1">
      <alignment wrapText="1"/>
    </xf>
    <xf numFmtId="0" fontId="5" fillId="3" borderId="0" xfId="0" applyFont="1" applyFill="1"/>
    <xf numFmtId="0" fontId="0" fillId="3" borderId="0" xfId="0" applyFill="1"/>
    <xf numFmtId="0" fontId="7" fillId="2" borderId="0" xfId="0" applyFont="1" applyFill="1" applyAlignment="1">
      <alignment vertical="center"/>
    </xf>
    <xf numFmtId="0" fontId="8" fillId="3" borderId="0" xfId="0" applyFont="1" applyFill="1"/>
    <xf numFmtId="0" fontId="9" fillId="3" borderId="0" xfId="0" applyFont="1" applyFill="1"/>
    <xf numFmtId="0" fontId="10" fillId="3" borderId="0" xfId="0" applyFont="1" applyFill="1"/>
    <xf numFmtId="10" fontId="0" fillId="2" borderId="0" xfId="0" applyNumberForma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101600</xdr:colOff>
      <xdr:row>0</xdr:row>
      <xdr:rowOff>177800</xdr:rowOff>
    </xdr:from>
    <xdr:to>
      <xdr:col>17</xdr:col>
      <xdr:colOff>0</xdr:colOff>
      <xdr:row>17</xdr:row>
      <xdr:rowOff>82550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1CC727A-20C9-6B97-3194-4A9177A63F73}"/>
            </a:ext>
          </a:extLst>
        </xdr:cNvPr>
        <xdr:cNvSpPr txBox="1"/>
      </xdr:nvSpPr>
      <xdr:spPr>
        <a:xfrm>
          <a:off x="5861050" y="177800"/>
          <a:ext cx="5384800" cy="3314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Part 1: The Challenge Questions</a:t>
          </a:r>
        </a:p>
        <a:p>
          <a:r>
            <a:rPr lang="en-IN" b="1"/>
            <a:t>Basic Lookup:</a:t>
          </a:r>
          <a:r>
            <a:rPr lang="en-IN"/>
            <a:t> Retrieve the </a:t>
          </a:r>
          <a:r>
            <a:rPr lang="en-IN" b="1"/>
            <a:t>Sales</a:t>
          </a:r>
          <a:r>
            <a:rPr lang="en-IN"/>
            <a:t> for Employee ID </a:t>
          </a:r>
          <a:r>
            <a:rPr lang="en-IN" b="1"/>
            <a:t>515</a:t>
          </a:r>
          <a:r>
            <a:rPr lang="en-IN"/>
            <a:t>.</a:t>
          </a:r>
        </a:p>
        <a:p>
          <a:endParaRPr lang="en-IN"/>
        </a:p>
        <a:p>
          <a:r>
            <a:rPr lang="en-IN" b="1"/>
            <a:t>Left Lookup:</a:t>
          </a:r>
          <a:r>
            <a:rPr lang="en-IN"/>
            <a:t> Find the </a:t>
          </a:r>
          <a:r>
            <a:rPr lang="en-IN" b="1"/>
            <a:t>Name</a:t>
          </a:r>
          <a:r>
            <a:rPr lang="en-IN"/>
            <a:t> of the employee who belongs to the </a:t>
          </a:r>
          <a:r>
            <a:rPr lang="en-IN" b="1"/>
            <a:t>South</a:t>
          </a:r>
          <a:r>
            <a:rPr lang="en-IN"/>
            <a:t> region and has a </a:t>
          </a:r>
          <a:r>
            <a:rPr lang="en-IN" b="1"/>
            <a:t>Sales</a:t>
          </a:r>
          <a:r>
            <a:rPr lang="en-IN"/>
            <a:t> value of </a:t>
          </a:r>
          <a:r>
            <a:rPr lang="en-IN" b="1"/>
            <a:t>10200</a:t>
          </a:r>
          <a:r>
            <a:rPr lang="en-IN"/>
            <a:t>.</a:t>
          </a:r>
        </a:p>
        <a:p>
          <a:endParaRPr lang="en-IN"/>
        </a:p>
        <a:p>
          <a:r>
            <a:rPr lang="en-IN" b="1"/>
            <a:t>Error Handling:</a:t>
          </a:r>
          <a:r>
            <a:rPr lang="en-IN"/>
            <a:t> Look up the </a:t>
          </a:r>
          <a:r>
            <a:rPr lang="en-IN" b="1"/>
            <a:t>Region</a:t>
          </a:r>
          <a:r>
            <a:rPr lang="en-IN"/>
            <a:t> for Employee ID </a:t>
          </a:r>
          <a:r>
            <a:rPr lang="en-IN" b="1"/>
            <a:t>600</a:t>
          </a:r>
          <a:r>
            <a:rPr lang="en-IN"/>
            <a:t>. If not found, display "Invalid ID".</a:t>
          </a:r>
        </a:p>
        <a:p>
          <a:endParaRPr lang="en-IN"/>
        </a:p>
        <a:p>
          <a:r>
            <a:rPr lang="en-IN" b="1"/>
            <a:t>Wildcard Search:</a:t>
          </a:r>
          <a:r>
            <a:rPr lang="en-IN"/>
            <a:t> Find the </a:t>
          </a:r>
          <a:r>
            <a:rPr lang="en-IN" b="1"/>
            <a:t>Rating</a:t>
          </a:r>
          <a:r>
            <a:rPr lang="en-IN"/>
            <a:t> for an employee whose name starts with </a:t>
          </a:r>
          <a:r>
            <a:rPr lang="en-IN" b="1"/>
            <a:t>"Qu"</a:t>
          </a:r>
          <a:r>
            <a:rPr lang="en-IN"/>
            <a:t>.</a:t>
          </a:r>
        </a:p>
        <a:p>
          <a:endParaRPr lang="en-IN"/>
        </a:p>
        <a:p>
          <a:r>
            <a:rPr lang="en-IN" b="1"/>
            <a:t>Approximate Match (Commission Calculation):</a:t>
          </a:r>
          <a:r>
            <a:rPr lang="en-IN"/>
            <a:t> * Use this reference table: $0=$0%, $5000=5%, $10000=10%, $15000=15%.</a:t>
          </a:r>
        </a:p>
        <a:p>
          <a:pPr lvl="1"/>
          <a:r>
            <a:rPr lang="en-IN"/>
            <a:t>Find the </a:t>
          </a:r>
          <a:r>
            <a:rPr lang="en-IN" b="1"/>
            <a:t>Commission %</a:t>
          </a:r>
          <a:r>
            <a:rPr lang="en-IN"/>
            <a:t> for Employee </a:t>
          </a:r>
          <a:r>
            <a:rPr lang="en-IN" b="1"/>
            <a:t>518</a:t>
          </a:r>
          <a:r>
            <a:rPr lang="en-IN"/>
            <a:t> based on their Sales.</a:t>
          </a:r>
        </a:p>
        <a:p>
          <a:pPr lvl="1"/>
          <a:endParaRPr lang="en-IN"/>
        </a:p>
        <a:p>
          <a:r>
            <a:rPr lang="en-IN" b="1"/>
            <a:t>Search Mode (Latest Entry):</a:t>
          </a:r>
          <a:r>
            <a:rPr lang="en-IN"/>
            <a:t> If there were duplicate names, how would you find the </a:t>
          </a:r>
          <a:r>
            <a:rPr lang="en-IN" b="1"/>
            <a:t>last</a:t>
          </a:r>
          <a:r>
            <a:rPr lang="en-IN"/>
            <a:t> recorded Sales for "Alan"?</a:t>
          </a:r>
        </a:p>
        <a:p>
          <a:endParaRPr lang="en-IN"/>
        </a:p>
        <a:p>
          <a:r>
            <a:rPr lang="en-IN" b="1"/>
            <a:t>Multi-Column Return:</a:t>
          </a:r>
          <a:r>
            <a:rPr lang="en-IN"/>
            <a:t> Return the </a:t>
          </a:r>
          <a:r>
            <a:rPr lang="en-IN" b="1"/>
            <a:t>Name, Region, and Sales</a:t>
          </a:r>
          <a:r>
            <a:rPr lang="en-IN"/>
            <a:t> for ID </a:t>
          </a:r>
          <a:r>
            <a:rPr lang="en-IN" b="1"/>
            <a:t>507</a:t>
          </a:r>
          <a:r>
            <a:rPr lang="en-IN"/>
            <a:t> in one single formula.</a:t>
          </a:r>
        </a:p>
        <a:p>
          <a:endParaRPr lang="en-IN" sz="1100"/>
        </a:p>
      </xdr:txBody>
    </xdr:sp>
    <xdr:clientData/>
  </xdr:twoCellAnchor>
  <xdr:twoCellAnchor>
    <xdr:from>
      <xdr:col>8</xdr:col>
      <xdr:colOff>120650</xdr:colOff>
      <xdr:row>18</xdr:row>
      <xdr:rowOff>139700</xdr:rowOff>
    </xdr:from>
    <xdr:to>
      <xdr:col>16</xdr:col>
      <xdr:colOff>603250</xdr:colOff>
      <xdr:row>74</xdr:row>
      <xdr:rowOff>165100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0A06E66-D7CF-4214-C1C4-6FA41685EC27}"/>
            </a:ext>
          </a:extLst>
        </xdr:cNvPr>
        <xdr:cNvSpPr txBox="1"/>
      </xdr:nvSpPr>
      <xdr:spPr>
        <a:xfrm>
          <a:off x="5880100" y="3740150"/>
          <a:ext cx="5359400" cy="10356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20-Question Challenge</a:t>
          </a:r>
        </a:p>
        <a:p>
          <a:endParaRPr lang="en-IN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Category 1: VLOOKUP &amp; HLOOKUP (The Foundations)</a:t>
          </a:r>
        </a:p>
        <a:p>
          <a:endParaRPr lang="en-IN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VLOOKUP: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Find the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Region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 Employee ID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510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VLOOKUP: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Find the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Rating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 Employee ID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505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using a column index number.</a:t>
          </a:r>
        </a:p>
        <a:p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VLOOKUP Error: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What happens if you try to find the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Employee ID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based on the name "Kara" using VLOOKUP? (Hint: Left-side limitation).</a:t>
          </a:r>
        </a:p>
        <a:p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HLOOKUP: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If you copy the headers (A1:E1) and paste-transpose them into a vertical list, how would you find the word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"Rating"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</a:t>
          </a:r>
        </a:p>
        <a:p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HLOOKUP: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Retrieve the 5th employee's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Sales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value if the entire dataset were transposed horizontally.</a:t>
          </a:r>
        </a:p>
        <a:p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Category 2: XLOOKUP (The Modern Choice)</a:t>
          </a:r>
        </a:p>
        <a:p>
          <a:endParaRPr lang="en-IN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Basic XLOOKUP: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Find the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Sales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 ID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519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Reverse Lookup: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Find the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Employee ID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 the person named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"Seth"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Error Handling: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Look up ID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999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Use XLOOKUP to return "Out of Range" instead of #N/A.</a:t>
          </a:r>
        </a:p>
        <a:p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Horizontal XLOOKUP: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Find the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Sales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 ID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502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but select the entire row as the return array.</a:t>
          </a:r>
        </a:p>
        <a:p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Wildcard: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Find the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Region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 the person whose name is </a:t>
          </a:r>
          <a:r>
            <a:rPr lang="en-IN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"Ol"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*.</a:t>
          </a:r>
        </a:p>
        <a:p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Bottom-to-Top: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If "Alan" appeared twice, how do you find his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most recent (last)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Sales entry?</a:t>
          </a:r>
        </a:p>
        <a:p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Spill Effect: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Use one XLOOKUP to return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Name, Region, and Sales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 ID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520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Category 3: INDEX-MATCH (The Robust Duo)</a:t>
          </a: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Simple Match: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Find the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row number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(position) of "Hugo" in the Name column.</a:t>
          </a:r>
        </a:p>
        <a:p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Basic Index: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Retrieve the value in the 4th column of the 8th row of the data range.</a:t>
          </a:r>
        </a:p>
        <a:p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Combination: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Use INDEX and MATCH together to find the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Sales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Employee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503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Lookup: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Use INDEX-MATCH to find the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Name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belonging to the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Sales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value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3200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Two-Way Lookup: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Use MATCH twice within an INDEX function to find the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Rating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(Column) for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Paul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(Row).</a:t>
          </a:r>
        </a:p>
        <a:p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Category 4: Pro-Level &amp; Comparative</a:t>
          </a:r>
        </a:p>
        <a:p>
          <a:endParaRPr lang="en-IN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Approximate Match: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Using the scale ($0=0\%$, $5k=5\%$, $10k=10\%$, $15k=15\%$), find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Iris’s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Commission % using XLOOKUP match mode -1.</a:t>
          </a:r>
        </a:p>
        <a:p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Comparison: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Which of these functions (VLOOKUP or XLOOKUP) is safest to use if someone inserts a new column between "Region" and "Sales"?</a:t>
          </a:r>
        </a:p>
        <a:p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Dynamic Range: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Use INDEX-MATCH to return the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Region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the employee with the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MAX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Sales in the list.</a:t>
          </a:r>
        </a:p>
        <a:p>
          <a:endParaRPr lang="en-IN" sz="1100"/>
        </a:p>
      </xdr:txBody>
    </xdr:sp>
    <xdr:clientData/>
  </xdr:twoCellAnchor>
  <xdr:twoCellAnchor>
    <xdr:from>
      <xdr:col>1</xdr:col>
      <xdr:colOff>45720</xdr:colOff>
      <xdr:row>25</xdr:row>
      <xdr:rowOff>91440</xdr:rowOff>
    </xdr:from>
    <xdr:to>
      <xdr:col>1</xdr:col>
      <xdr:colOff>579120</xdr:colOff>
      <xdr:row>26</xdr:row>
      <xdr:rowOff>114300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4733ACF4-3F05-DBBE-1AC6-7967C6D82A1E}"/>
            </a:ext>
          </a:extLst>
        </xdr:cNvPr>
        <xdr:cNvCxnSpPr/>
      </xdr:nvCxnSpPr>
      <xdr:spPr>
        <a:xfrm>
          <a:off x="975360" y="4991100"/>
          <a:ext cx="533400" cy="205740"/>
        </a:xfrm>
        <a:prstGeom prst="bentConnector3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320040</xdr:colOff>
      <xdr:row>25</xdr:row>
      <xdr:rowOff>99060</xdr:rowOff>
    </xdr:from>
    <xdr:to>
      <xdr:col>2</xdr:col>
      <xdr:colOff>45720</xdr:colOff>
      <xdr:row>25</xdr:row>
      <xdr:rowOff>106680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42776457-20DD-92C2-6436-6030717084BB}"/>
            </a:ext>
          </a:extLst>
        </xdr:cNvPr>
        <xdr:cNvCxnSpPr/>
      </xdr:nvCxnSpPr>
      <xdr:spPr>
        <a:xfrm flipV="1">
          <a:off x="1249680" y="4998720"/>
          <a:ext cx="33528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96F0C-B16B-4886-AC3A-7154AD76DF11}">
  <dimension ref="A1:G109"/>
  <sheetViews>
    <sheetView tabSelected="1" topLeftCell="A23" workbookViewId="0">
      <selection activeCell="D34" sqref="D34"/>
    </sheetView>
  </sheetViews>
  <sheetFormatPr defaultRowHeight="14.4"/>
  <cols>
    <col min="1" max="1" width="13.5546875" customWidth="1"/>
    <col min="4" max="4" width="12.109375" customWidth="1"/>
    <col min="5" max="5" width="13.21875" customWidth="1"/>
  </cols>
  <sheetData>
    <row r="1" spans="1:5" ht="28.2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>
      <c r="A2" s="2">
        <v>501</v>
      </c>
      <c r="B2" s="2" t="s">
        <v>5</v>
      </c>
      <c r="C2" s="2" t="s">
        <v>6</v>
      </c>
      <c r="D2" s="2">
        <v>12000</v>
      </c>
      <c r="E2" s="2">
        <v>5</v>
      </c>
    </row>
    <row r="3" spans="1:5" ht="15" thickBot="1">
      <c r="A3" s="2">
        <v>502</v>
      </c>
      <c r="B3" s="2" t="s">
        <v>7</v>
      </c>
      <c r="C3" s="2" t="s">
        <v>8</v>
      </c>
      <c r="D3" s="2">
        <v>8000</v>
      </c>
      <c r="E3" s="2">
        <v>3</v>
      </c>
    </row>
    <row r="4" spans="1:5" ht="15" thickBot="1">
      <c r="A4" s="2">
        <v>503</v>
      </c>
      <c r="B4" s="2" t="s">
        <v>9</v>
      </c>
      <c r="C4" s="2" t="s">
        <v>10</v>
      </c>
      <c r="D4" s="2">
        <v>15000</v>
      </c>
      <c r="E4" s="2">
        <v>4</v>
      </c>
    </row>
    <row r="5" spans="1:5" ht="15" thickBot="1">
      <c r="A5" s="2">
        <v>504</v>
      </c>
      <c r="B5" s="2" t="s">
        <v>11</v>
      </c>
      <c r="C5" s="2" t="s">
        <v>12</v>
      </c>
      <c r="D5" s="2">
        <v>4500</v>
      </c>
      <c r="E5" s="2">
        <v>2</v>
      </c>
    </row>
    <row r="6" spans="1:5" ht="15" thickBot="1">
      <c r="A6" s="2">
        <v>505</v>
      </c>
      <c r="B6" s="2" t="s">
        <v>13</v>
      </c>
      <c r="C6" s="2" t="s">
        <v>6</v>
      </c>
      <c r="D6" s="2">
        <v>11000</v>
      </c>
      <c r="E6" s="2">
        <v>4</v>
      </c>
    </row>
    <row r="7" spans="1:5" ht="15" thickBot="1">
      <c r="A7" s="2">
        <v>506</v>
      </c>
      <c r="B7" s="2" t="s">
        <v>14</v>
      </c>
      <c r="C7" s="2" t="s">
        <v>8</v>
      </c>
      <c r="D7" s="2">
        <v>9500</v>
      </c>
      <c r="E7" s="2">
        <v>3</v>
      </c>
    </row>
    <row r="8" spans="1:5" ht="15" thickBot="1">
      <c r="A8" s="2">
        <v>507</v>
      </c>
      <c r="B8" s="2" t="s">
        <v>15</v>
      </c>
      <c r="C8" s="2" t="s">
        <v>10</v>
      </c>
      <c r="D8" s="2">
        <v>13500</v>
      </c>
      <c r="E8" s="2">
        <v>5</v>
      </c>
    </row>
    <row r="9" spans="1:5" ht="15" thickBot="1">
      <c r="A9" s="2">
        <v>508</v>
      </c>
      <c r="B9" s="2" t="s">
        <v>16</v>
      </c>
      <c r="C9" s="2" t="s">
        <v>12</v>
      </c>
      <c r="D9" s="2">
        <v>6200</v>
      </c>
      <c r="E9" s="2">
        <v>3</v>
      </c>
    </row>
    <row r="10" spans="1:5" ht="15" thickBot="1">
      <c r="A10" s="2">
        <v>509</v>
      </c>
      <c r="B10" s="2" t="s">
        <v>17</v>
      </c>
      <c r="C10" s="2" t="s">
        <v>6</v>
      </c>
      <c r="D10" s="2">
        <v>18000</v>
      </c>
      <c r="E10" s="2">
        <v>5</v>
      </c>
    </row>
    <row r="11" spans="1:5" ht="15" thickBot="1">
      <c r="A11" s="2">
        <v>510</v>
      </c>
      <c r="B11" s="2" t="s">
        <v>18</v>
      </c>
      <c r="C11" s="2" t="s">
        <v>8</v>
      </c>
      <c r="D11" s="2">
        <v>5500</v>
      </c>
      <c r="E11" s="2">
        <v>1</v>
      </c>
    </row>
    <row r="12" spans="1:5" ht="15" thickBot="1">
      <c r="A12" s="2">
        <v>511</v>
      </c>
      <c r="B12" s="2" t="s">
        <v>19</v>
      </c>
      <c r="C12" s="2" t="s">
        <v>10</v>
      </c>
      <c r="D12" s="2">
        <v>10500</v>
      </c>
      <c r="E12" s="2">
        <v>4</v>
      </c>
    </row>
    <row r="13" spans="1:5" ht="15" thickBot="1">
      <c r="A13" s="2">
        <v>512</v>
      </c>
      <c r="B13" s="2" t="s">
        <v>20</v>
      </c>
      <c r="C13" s="2" t="s">
        <v>12</v>
      </c>
      <c r="D13" s="2">
        <v>8800</v>
      </c>
      <c r="E13" s="2">
        <v>3</v>
      </c>
    </row>
    <row r="14" spans="1:5" ht="15" thickBot="1">
      <c r="A14" s="2">
        <v>513</v>
      </c>
      <c r="B14" s="2" t="s">
        <v>21</v>
      </c>
      <c r="C14" s="2" t="s">
        <v>6</v>
      </c>
      <c r="D14" s="2">
        <v>14200</v>
      </c>
      <c r="E14" s="2">
        <v>4</v>
      </c>
    </row>
    <row r="15" spans="1:5" ht="15" thickBot="1">
      <c r="A15" s="2">
        <v>514</v>
      </c>
      <c r="B15" s="2" t="s">
        <v>22</v>
      </c>
      <c r="C15" s="2" t="s">
        <v>8</v>
      </c>
      <c r="D15" s="2">
        <v>7300</v>
      </c>
      <c r="E15" s="2">
        <v>2</v>
      </c>
    </row>
    <row r="16" spans="1:5" ht="15" thickBot="1">
      <c r="A16" s="2">
        <v>515</v>
      </c>
      <c r="B16" s="2" t="s">
        <v>23</v>
      </c>
      <c r="C16" s="2" t="s">
        <v>10</v>
      </c>
      <c r="D16" s="2">
        <v>16000</v>
      </c>
      <c r="E16" s="2">
        <v>5</v>
      </c>
    </row>
    <row r="17" spans="1:5" ht="15" thickBot="1">
      <c r="A17" s="2">
        <v>516</v>
      </c>
      <c r="B17" s="2" t="s">
        <v>24</v>
      </c>
      <c r="C17" s="2" t="s">
        <v>12</v>
      </c>
      <c r="D17" s="2">
        <v>3200</v>
      </c>
      <c r="E17" s="2">
        <v>1</v>
      </c>
    </row>
    <row r="18" spans="1:5" ht="15" thickBot="1">
      <c r="A18" s="2">
        <v>517</v>
      </c>
      <c r="B18" s="2" t="s">
        <v>25</v>
      </c>
      <c r="C18" s="2" t="s">
        <v>6</v>
      </c>
      <c r="D18" s="2">
        <v>12500</v>
      </c>
      <c r="E18" s="2">
        <v>3</v>
      </c>
    </row>
    <row r="19" spans="1:5" ht="15" thickBot="1">
      <c r="A19" s="2">
        <v>518</v>
      </c>
      <c r="B19" s="2" t="s">
        <v>26</v>
      </c>
      <c r="C19" s="2" t="s">
        <v>8</v>
      </c>
      <c r="D19" s="2">
        <v>11500</v>
      </c>
      <c r="E19" s="2">
        <v>4</v>
      </c>
    </row>
    <row r="20" spans="1:5" ht="15" thickBot="1">
      <c r="A20" s="2">
        <v>519</v>
      </c>
      <c r="B20" s="2" t="s">
        <v>27</v>
      </c>
      <c r="C20" s="2" t="s">
        <v>10</v>
      </c>
      <c r="D20" s="2">
        <v>9000</v>
      </c>
      <c r="E20" s="2">
        <v>2</v>
      </c>
    </row>
    <row r="21" spans="1:5" ht="15" thickBot="1">
      <c r="A21" s="2">
        <v>520</v>
      </c>
      <c r="B21" s="2" t="s">
        <v>28</v>
      </c>
      <c r="C21" s="2" t="s">
        <v>12</v>
      </c>
      <c r="D21" s="2">
        <v>10200</v>
      </c>
      <c r="E21" s="2">
        <v>4</v>
      </c>
    </row>
    <row r="23" spans="1:5" ht="18">
      <c r="A23" s="11" t="s">
        <v>35</v>
      </c>
      <c r="B23" s="9"/>
      <c r="C23" s="9"/>
      <c r="D23" s="9"/>
    </row>
    <row r="24" spans="1:5">
      <c r="A24" s="4" t="s">
        <v>29</v>
      </c>
      <c r="B24" s="7"/>
      <c r="C24" s="5">
        <f>VLOOKUP(515, A2:E21, 4, FALSE)</f>
        <v>16000</v>
      </c>
      <c r="D24" t="str">
        <f t="shared" ref="D24" ca="1" si="0">_xlfn.FORMULATEXT(C24)</f>
        <v>=VLOOKUP(515, A2:E21, 4, FALSE)</v>
      </c>
    </row>
    <row r="26" spans="1:5">
      <c r="A26" s="4" t="s">
        <v>30</v>
      </c>
      <c r="B26" s="3"/>
      <c r="C26" s="5">
        <f>VLOOKUP(A21,A2:E21,4,FALSE)</f>
        <v>10200</v>
      </c>
      <c r="D26" t="str">
        <f ca="1">_xlfn.FORMULATEXT(C26)</f>
        <v>=VLOOKUP(A21,A2:E21,4,FALSE)</v>
      </c>
    </row>
    <row r="27" spans="1:5">
      <c r="C27" s="5" t="str" cm="1">
        <f t="array" ref="C27">INDEX(B2:B21,MATCH(1,(C2:C21="South")*(D2:D21=10200),0))</f>
        <v>Tara</v>
      </c>
      <c r="D27" t="str">
        <f ca="1">_xlfn.FORMULATEXT(C27)</f>
        <v>=INDEX(B2:B21,MATCH(1,(C2:C21="South")*(D2:D21=10200),0))</v>
      </c>
    </row>
    <row r="29" spans="1:5">
      <c r="A29" s="4" t="s">
        <v>31</v>
      </c>
      <c r="C29" t="str">
        <f>_xlfn.XLOOKUP(600,A2:A21,C2:C21,"Invalid ID")</f>
        <v>Invalid ID</v>
      </c>
      <c r="D29" t="str">
        <f t="shared" ref="D29" ca="1" si="1">_xlfn.FORMULATEXT(C29)</f>
        <v>=XLOOKUP(600,A2:A21,C2:C21,"Invalid ID")</v>
      </c>
    </row>
    <row r="31" spans="1:5">
      <c r="A31" s="4" t="s">
        <v>32</v>
      </c>
      <c r="C31" s="5">
        <f>_xlfn.XLOOKUP("Qu*",B2:B21,E2:E21,,2)</f>
        <v>3</v>
      </c>
      <c r="D31" t="str">
        <f ca="1">_xlfn.FORMULATEXT(C31)</f>
        <v>=XLOOKUP("Qu*",B2:B21,E2:E21,,2)</v>
      </c>
    </row>
    <row r="33" spans="1:4">
      <c r="A33" s="6" t="s">
        <v>33</v>
      </c>
      <c r="C33" s="5">
        <f>_xlfn.XLOOKUP(518,A2:A21,D2:D21)</f>
        <v>11500</v>
      </c>
      <c r="D33" s="15" t="s">
        <v>66</v>
      </c>
    </row>
    <row r="35" spans="1:4">
      <c r="A35" s="6" t="s">
        <v>34</v>
      </c>
      <c r="C35" s="5">
        <f>_xlfn.XLOOKUP("Alan",B2:B21,D2:D21,,0,-1)</f>
        <v>12000</v>
      </c>
      <c r="D35" t="str">
        <f t="shared" ref="D33:D35" ca="1" si="2">_xlfn.FORMULATEXT(C35)</f>
        <v>=XLOOKUP("Alan",B2:B21,D2:D21,,0,-1)</v>
      </c>
    </row>
    <row r="37" spans="1:4" ht="18">
      <c r="A37" s="11" t="s">
        <v>36</v>
      </c>
      <c r="B37" s="9"/>
      <c r="C37" s="9"/>
    </row>
    <row r="39" spans="1:4">
      <c r="A39" s="4" t="s">
        <v>37</v>
      </c>
    </row>
    <row r="40" spans="1:4">
      <c r="A40" s="4" t="s">
        <v>38</v>
      </c>
      <c r="B40" s="5" t="str">
        <f>VLOOKUP(510,$A$2:$E$21,3,FALSE)</f>
        <v>West</v>
      </c>
      <c r="C40" t="str">
        <f ca="1">_xlfn.FORMULATEXT(B40)</f>
        <v>=VLOOKUP(510,$A$2:$E$21,3,FALSE)</v>
      </c>
    </row>
    <row r="42" spans="1:4">
      <c r="A42" s="6" t="s">
        <v>39</v>
      </c>
    </row>
    <row r="43" spans="1:4">
      <c r="A43" s="4" t="s">
        <v>40</v>
      </c>
      <c r="B43" s="5">
        <f>VLOOKUP(505,$A$2:$E$21,5,FALSE)</f>
        <v>4</v>
      </c>
      <c r="C43" t="str">
        <f ca="1">_xlfn.FORMULATEXT(B43)</f>
        <v>=VLOOKUP(505,$A$2:$E$21,5,FALSE)</v>
      </c>
    </row>
    <row r="45" spans="1:4">
      <c r="A45" s="4" t="s">
        <v>41</v>
      </c>
    </row>
    <row r="46" spans="1:4">
      <c r="A46" s="4" t="s">
        <v>40</v>
      </c>
      <c r="B46" s="5" t="str">
        <f>VLOOKUP("kara",B2:E21,1,FALSE)</f>
        <v>Kara</v>
      </c>
      <c r="D46" s="15" t="s">
        <v>65</v>
      </c>
    </row>
    <row r="48" spans="1:4">
      <c r="A48" s="4" t="s">
        <v>42</v>
      </c>
    </row>
    <row r="49" spans="1:5">
      <c r="A49" s="4" t="s">
        <v>40</v>
      </c>
      <c r="B49" s="5" t="str">
        <f>HLOOKUP("Rating",$A$1:$E$2,1,FALSE)</f>
        <v>Rating</v>
      </c>
      <c r="C49" t="str">
        <f ca="1">_xlfn.FORMULATEXT(B49)</f>
        <v>=HLOOKUP("Rating",$A$1:$E$2,1,FALSE)</v>
      </c>
    </row>
    <row r="51" spans="1:5">
      <c r="A51" s="4" t="s">
        <v>43</v>
      </c>
    </row>
    <row r="52" spans="1:5">
      <c r="A52" s="4" t="s">
        <v>40</v>
      </c>
      <c r="B52" s="5" t="e">
        <f>HLOOKUP(505,$B$2:$E$21,3,FALSE)</f>
        <v>#N/A</v>
      </c>
      <c r="D52" s="15" t="s">
        <v>64</v>
      </c>
    </row>
    <row r="54" spans="1:5" ht="18">
      <c r="A54" s="11" t="s">
        <v>44</v>
      </c>
      <c r="B54" s="9"/>
      <c r="C54" s="9"/>
      <c r="D54" s="9"/>
      <c r="E54" s="9"/>
    </row>
    <row r="56" spans="1:5">
      <c r="A56" s="4" t="s">
        <v>45</v>
      </c>
    </row>
    <row r="57" spans="1:5">
      <c r="A57" s="4" t="s">
        <v>40</v>
      </c>
      <c r="B57" s="10">
        <f>_xlfn.XLOOKUP(519,$A$2:$A$21,$D$2:$D$21)</f>
        <v>9000</v>
      </c>
      <c r="C57" t="str">
        <f ca="1">_xlfn.FORMULATEXT(B57)</f>
        <v>=XLOOKUP(519,$A$2:$A$21,$D$2:$D$21)</v>
      </c>
    </row>
    <row r="59" spans="1:5">
      <c r="A59" s="4" t="s">
        <v>46</v>
      </c>
    </row>
    <row r="60" spans="1:5">
      <c r="A60" s="4" t="s">
        <v>40</v>
      </c>
      <c r="B60" s="5">
        <f>_xlfn.XLOOKUP("Seth",$B$2:$B$21,$A$2:$A$21)</f>
        <v>519</v>
      </c>
      <c r="C60" t="str">
        <f ca="1">_xlfn.FORMULATEXT(B60)</f>
        <v>=XLOOKUP("Seth",$B$2:$B$21,$A$2:$A$21)</v>
      </c>
    </row>
    <row r="62" spans="1:5">
      <c r="A62" s="4" t="s">
        <v>47</v>
      </c>
    </row>
    <row r="63" spans="1:5">
      <c r="A63" s="4" t="s">
        <v>40</v>
      </c>
      <c r="B63" s="5" t="str">
        <f>_xlfn.XLOOKUP(999,$A$2:$A$21,$B$2:$B$21,"Out of Range")</f>
        <v>Out of Range</v>
      </c>
      <c r="C63" s="5"/>
      <c r="D63" t="str">
        <f ca="1">_xlfn.FORMULATEXT(B63)</f>
        <v>=XLOOKUP(999,$A$2:$A$21,$B$2:$B$21,"Out of Range")</v>
      </c>
    </row>
    <row r="65" spans="1:6">
      <c r="A65" s="4" t="s">
        <v>48</v>
      </c>
    </row>
    <row r="66" spans="1:6">
      <c r="A66" s="4" t="s">
        <v>40</v>
      </c>
      <c r="B66" s="5" cm="1">
        <f t="array" ref="B66:F66">_xlfn.XLOOKUP(502,$A$2:$A$21,$A$2:$E$21)</f>
        <v>502</v>
      </c>
      <c r="C66" s="5" t="str">
        <v>Beth</v>
      </c>
      <c r="D66" s="5" t="str">
        <v>West</v>
      </c>
      <c r="E66" s="5">
        <v>8000</v>
      </c>
      <c r="F66" s="5">
        <v>3</v>
      </c>
    </row>
    <row r="67" spans="1:6">
      <c r="B67" t="str">
        <f ca="1">_xlfn.FORMULATEXT(B66)</f>
        <v>=XLOOKUP(502,$A$2:$A$21,$A$2:$E$21)</v>
      </c>
    </row>
    <row r="68" spans="1:6">
      <c r="B68" t="s">
        <v>49</v>
      </c>
    </row>
    <row r="69" spans="1:6">
      <c r="B69" s="5">
        <f>INDEX(_xlfn.XLOOKUP(502,$A$2:$A$21,$A$2:$E$21),4)</f>
        <v>8000</v>
      </c>
      <c r="C69" t="str">
        <f ca="1">_xlfn.FORMULATEXT(B69)</f>
        <v>=INDEX(XLOOKUP(502,$A$2:$A$21,$A$2:$E$21),4)</v>
      </c>
    </row>
    <row r="71" spans="1:6">
      <c r="A71" s="4" t="s">
        <v>50</v>
      </c>
    </row>
    <row r="72" spans="1:6">
      <c r="A72" s="4" t="s">
        <v>40</v>
      </c>
      <c r="B72" s="5" t="str">
        <f>_xlfn.XLOOKUP("Ol*",$B$2:$B$21,$C$2:$C$21,,2)</f>
        <v>North</v>
      </c>
      <c r="C72" t="str">
        <f ca="1">_xlfn.FORMULATEXT(B72)</f>
        <v>=XLOOKUP("Ol*",$B$2:$B$21,$C$2:$C$21,,2)</v>
      </c>
    </row>
    <row r="74" spans="1:6">
      <c r="A74" s="4" t="s">
        <v>51</v>
      </c>
    </row>
    <row r="75" spans="1:6">
      <c r="A75" s="4" t="s">
        <v>40</v>
      </c>
      <c r="B75" s="5">
        <f>_xlfn.XLOOKUP("Alan",$B$2:$B$21,$D$2:$D$21,,0,-1)</f>
        <v>12000</v>
      </c>
      <c r="C75" t="str">
        <f t="shared" ref="C75" ca="1" si="3">_xlfn.FORMULATEXT(B75)</f>
        <v>=XLOOKUP("Alan",$B$2:$B$21,$D$2:$D$21,,0,-1)</v>
      </c>
    </row>
    <row r="77" spans="1:6">
      <c r="A77" s="4" t="s">
        <v>52</v>
      </c>
    </row>
    <row r="78" spans="1:6">
      <c r="A78" s="4" t="s">
        <v>40</v>
      </c>
      <c r="B78" s="5" t="str" cm="1">
        <f t="array" ref="B78:D78">_xlfn.XLOOKUP(520,$A$2:$A$21,$B$2:$D$21)</f>
        <v>Tara</v>
      </c>
      <c r="C78" s="5" t="str">
        <v>South</v>
      </c>
      <c r="D78" s="5">
        <v>10200</v>
      </c>
    </row>
    <row r="79" spans="1:6">
      <c r="B79" t="str">
        <f ca="1">_xlfn.FORMULATEXT(B78)</f>
        <v>=XLOOKUP(520,$A$2:$A$21,$B$2:$D$21)</v>
      </c>
    </row>
    <row r="81" spans="1:5" ht="18">
      <c r="A81" s="13" t="s">
        <v>53</v>
      </c>
      <c r="B81" s="8"/>
      <c r="C81" s="9"/>
      <c r="D81" s="9"/>
      <c r="E81" s="9"/>
    </row>
    <row r="83" spans="1:5">
      <c r="A83" s="4" t="s">
        <v>54</v>
      </c>
    </row>
    <row r="84" spans="1:5">
      <c r="A84" s="4" t="s">
        <v>40</v>
      </c>
      <c r="B84" s="5">
        <f>MATCH("Hugo",$B$2:$B$21,0)</f>
        <v>8</v>
      </c>
      <c r="C84" t="str">
        <f ca="1">_xlfn.FORMULATEXT(B84)</f>
        <v>=MATCH("Hugo",$B$2:$B$21,0)</v>
      </c>
    </row>
    <row r="86" spans="1:5">
      <c r="A86" s="4" t="s">
        <v>55</v>
      </c>
    </row>
    <row r="87" spans="1:5">
      <c r="A87" s="4" t="s">
        <v>40</v>
      </c>
      <c r="B87" s="5">
        <f>INDEX($A$2:$E$21,8,4)</f>
        <v>6200</v>
      </c>
      <c r="C87" t="str">
        <f ca="1">_xlfn.FORMULATEXT(B87)</f>
        <v>=INDEX($A$2:$E$21,8,4)</v>
      </c>
    </row>
    <row r="89" spans="1:5">
      <c r="A89" s="4" t="s">
        <v>56</v>
      </c>
    </row>
    <row r="90" spans="1:5">
      <c r="A90" s="4" t="s">
        <v>40</v>
      </c>
      <c r="B90" s="5">
        <f>INDEX($D$2:$D$21,MATCH(503,$A$2:$A$21,0))</f>
        <v>15000</v>
      </c>
      <c r="C90" t="str">
        <f ca="1">_xlfn.FORMULATEXT(B90)</f>
        <v>=INDEX($D$2:$D$21,MATCH(503,$A$2:$A$21,0))</v>
      </c>
    </row>
    <row r="92" spans="1:5">
      <c r="A92" s="4" t="s">
        <v>57</v>
      </c>
    </row>
    <row r="93" spans="1:5">
      <c r="A93" s="4" t="s">
        <v>40</v>
      </c>
      <c r="B93" s="5" t="str">
        <f>INDEX($B$2:$B$21,MATCH(3200,$D$2:$D$21,0))</f>
        <v>Paul</v>
      </c>
      <c r="C93" t="str">
        <f ca="1">_xlfn.FORMULATEXT(B93)</f>
        <v>=INDEX($B$2:$B$21,MATCH(3200,$D$2:$D$21,0))</v>
      </c>
    </row>
    <row r="95" spans="1:5">
      <c r="A95" s="4" t="s">
        <v>58</v>
      </c>
    </row>
    <row r="96" spans="1:5">
      <c r="A96" s="4" t="s">
        <v>40</v>
      </c>
      <c r="B96">
        <f>INDEX($A$1:$E$21,MATCH("Paul",$B$1:$B$21,0),MATCH("Rating",$A$1:$E$1,0))</f>
        <v>1</v>
      </c>
      <c r="C96" t="str">
        <f ca="1">_xlfn.FORMULATEXT(B96)</f>
        <v>=INDEX($A$1:$E$21,MATCH("Paul",$B$1:$B$21,0),MATCH("Rating",$A$1:$E$1,0))</v>
      </c>
    </row>
    <row r="98" spans="1:7" ht="18">
      <c r="A98" s="11" t="s">
        <v>59</v>
      </c>
      <c r="B98" s="12"/>
      <c r="C98" s="12"/>
      <c r="D98" s="9"/>
    </row>
    <row r="100" spans="1:7">
      <c r="A100" s="4" t="s">
        <v>60</v>
      </c>
    </row>
    <row r="101" spans="1:7">
      <c r="A101" s="4" t="s">
        <v>40</v>
      </c>
      <c r="B101" s="14" t="e">
        <f>_xlfn.XLOOKUP(18000,$H$2:$H$5,$I$2:$I$5,,-1)</f>
        <v>#N/A</v>
      </c>
      <c r="C101" t="str">
        <f t="shared" ref="C101" ca="1" si="4">_xlfn.FORMULATEXT(B101)</f>
        <v>=XLOOKUP(18000,$H$2:$H$5,$I$2:$I$5,,-1)</v>
      </c>
      <c r="G101" s="15" t="s">
        <v>63</v>
      </c>
    </row>
    <row r="103" spans="1:7">
      <c r="A103" s="4" t="s">
        <v>61</v>
      </c>
    </row>
    <row r="104" spans="1:7">
      <c r="A104" s="4" t="s">
        <v>40</v>
      </c>
      <c r="B104" s="5" t="str">
        <f>VLOOKUP(510,A:E,3,FALSE)</f>
        <v>West</v>
      </c>
      <c r="C104" t="str">
        <f ca="1">_xlfn.FORMULATEXT(B104)</f>
        <v>=VLOOKUP(510,A:E,3,FALSE)</v>
      </c>
    </row>
    <row r="105" spans="1:7">
      <c r="B105" t="s">
        <v>49</v>
      </c>
    </row>
    <row r="106" spans="1:7">
      <c r="B106" s="5" t="str">
        <f>_xlfn.XLOOKUP(510,A:A,C:C)</f>
        <v>West</v>
      </c>
      <c r="C106" t="str">
        <f t="shared" ref="C106" ca="1" si="5">_xlfn.FORMULATEXT(B106)</f>
        <v>=XLOOKUP(510,A:A,C:C)</v>
      </c>
    </row>
    <row r="108" spans="1:7">
      <c r="A108" s="4" t="s">
        <v>62</v>
      </c>
    </row>
    <row r="109" spans="1:7">
      <c r="A109" s="4" t="s">
        <v>40</v>
      </c>
      <c r="B109" s="5" t="str">
        <f>INDEX($C$2:$C$21,MATCH(MAX($D$2:$D$21),$D$2:$D$21,0))</f>
        <v>East</v>
      </c>
      <c r="C109" t="str">
        <f ca="1">_xlfn.FORMULATEXT(B109)</f>
        <v>=INDEX($C$2:$C$21,MATCH(MAX($D$2:$D$21),$D$2:$D$21,0))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Malusare</dc:creator>
  <cp:lastModifiedBy>vedanti kingri</cp:lastModifiedBy>
  <dcterms:created xsi:type="dcterms:W3CDTF">2026-02-13T07:45:19Z</dcterms:created>
  <dcterms:modified xsi:type="dcterms:W3CDTF">2026-07-02T08:10:21Z</dcterms:modified>
</cp:coreProperties>
</file>