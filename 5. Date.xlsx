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Analysis\Assignment H.W\"/>
    </mc:Choice>
  </mc:AlternateContent>
  <xr:revisionPtr revIDLastSave="0" documentId="13_ncr:1_{1152AAA3-9748-452E-9915-B26476C53AA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e1" sheetId="1" r:id="rId1"/>
    <sheet name="Date2" sheetId="2" r:id="rId2"/>
    <sheet name="Sheet1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2" l="1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7" i="2"/>
  <c r="I7" i="2" s="1"/>
  <c r="G8" i="2"/>
  <c r="G9" i="2"/>
  <c r="G10" i="2"/>
  <c r="G11" i="2"/>
  <c r="G12" i="2"/>
  <c r="G13" i="2"/>
  <c r="G14" i="2"/>
  <c r="G15" i="2"/>
  <c r="G16" i="2"/>
  <c r="G17" i="2"/>
  <c r="G18" i="2"/>
  <c r="F8" i="2"/>
  <c r="F9" i="2"/>
  <c r="F10" i="2"/>
  <c r="F11" i="2"/>
  <c r="F12" i="2"/>
  <c r="F13" i="2"/>
  <c r="F14" i="2"/>
  <c r="F15" i="2"/>
  <c r="F16" i="2"/>
  <c r="F17" i="2"/>
  <c r="F18" i="2"/>
  <c r="E8" i="2"/>
  <c r="E9" i="2"/>
  <c r="E10" i="2"/>
  <c r="E11" i="2"/>
  <c r="E12" i="2"/>
  <c r="E13" i="2"/>
  <c r="E14" i="2"/>
  <c r="E15" i="2"/>
  <c r="E16" i="2"/>
  <c r="E17" i="2"/>
  <c r="E18" i="2"/>
  <c r="D8" i="2"/>
  <c r="D9" i="2"/>
  <c r="D10" i="2"/>
  <c r="D11" i="2"/>
  <c r="D12" i="2"/>
  <c r="D13" i="2"/>
  <c r="D14" i="2"/>
  <c r="D15" i="2"/>
  <c r="D16" i="2"/>
  <c r="D17" i="2"/>
  <c r="D18" i="2"/>
  <c r="F7" i="2"/>
  <c r="G7" i="2"/>
  <c r="E7" i="2"/>
  <c r="D7" i="2"/>
  <c r="C4" i="2"/>
  <c r="C3" i="2"/>
  <c r="C7" i="1"/>
  <c r="C8" i="1"/>
  <c r="C9" i="1"/>
  <c r="C10" i="1"/>
  <c r="C11" i="1"/>
  <c r="C12" i="1"/>
  <c r="C13" i="1"/>
  <c r="C14" i="1"/>
  <c r="C6" i="1"/>
  <c r="C10" i="3"/>
  <c r="D10" i="3" s="1"/>
  <c r="C11" i="3"/>
  <c r="D11" i="3" s="1"/>
  <c r="C12" i="3"/>
  <c r="D12" i="3" s="1"/>
  <c r="C9" i="3"/>
  <c r="D9" i="3" s="1"/>
  <c r="C5" i="3"/>
  <c r="D5" i="3" s="1"/>
  <c r="C6" i="3"/>
  <c r="D6" i="3" s="1"/>
  <c r="C7" i="3"/>
  <c r="D7" i="3" s="1"/>
  <c r="C4" i="3"/>
  <c r="D4" i="3" s="1"/>
  <c r="D4" i="2"/>
  <c r="E7" i="1"/>
  <c r="D3" i="2"/>
</calcChain>
</file>

<file path=xl/sharedStrings.xml><?xml version="1.0" encoding="utf-8"?>
<sst xmlns="http://schemas.openxmlformats.org/spreadsheetml/2006/main" count="49" uniqueCount="46">
  <si>
    <t>Date (yyyymmdd.000)</t>
  </si>
  <si>
    <t>Date (mm/dd/yyyy)</t>
  </si>
  <si>
    <t>For sort --&gt; Alt + A + S + A</t>
  </si>
  <si>
    <t>Current Date</t>
  </si>
  <si>
    <t>Last Modified Date</t>
  </si>
  <si>
    <t>Current Time</t>
  </si>
  <si>
    <t>Last Modified Time</t>
  </si>
  <si>
    <t>Name</t>
  </si>
  <si>
    <t>Birthdate</t>
  </si>
  <si>
    <t>Day</t>
  </si>
  <si>
    <t>Month(in number)</t>
  </si>
  <si>
    <t>Month(in text)</t>
  </si>
  <si>
    <t>Year</t>
  </si>
  <si>
    <t>Age(in years)</t>
  </si>
  <si>
    <t>Exact Age with Years, Month, 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</si>
  <si>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</si>
  <si>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</si>
  <si>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</si>
  <si>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</si>
  <si>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</si>
  <si>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</si>
  <si>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</si>
  <si>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</si>
  <si>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</si>
  <si>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</si>
  <si>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</si>
  <si>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</si>
  <si>
    <t>Q. Convert the date from first format to the second format using formula/functions and sort in ascending order.</t>
  </si>
  <si>
    <t>Format</t>
  </si>
  <si>
    <t>Date</t>
  </si>
  <si>
    <t>Use text () function</t>
  </si>
  <si>
    <t>formula</t>
  </si>
  <si>
    <t>m</t>
  </si>
  <si>
    <t>mm</t>
  </si>
  <si>
    <t>mmm</t>
  </si>
  <si>
    <t>mmmm</t>
  </si>
  <si>
    <t xml:space="preserve">y </t>
  </si>
  <si>
    <t>yy</t>
  </si>
  <si>
    <t>yyy</t>
  </si>
  <si>
    <t>yyyy</t>
  </si>
  <si>
    <t>TIME</t>
  </si>
  <si>
    <t>h</t>
  </si>
  <si>
    <t>hh</t>
  </si>
  <si>
    <t>hhAM/PM</t>
  </si>
  <si>
    <t>2:32AM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</si>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</sst>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F400]h:mm:ss\ AM/PM"/>
    <numFmt numFmtId="165" formatCode="mm\/dd\/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sz val="10"/>
      <color rgb="FF333333"/>
      <name val="Arial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/>
    </xf>
    <xf numFmtId="0" fontId="1" fillId="0" borderId="0" xfId="0" applyFont="1"/>
    <xf numFmtId="0" fontId="6" fillId="5" borderId="7" xfId="0" applyFont="1" applyFill="1" applyBorder="1"/>
    <xf numFmtId="14" fontId="4" fillId="6" borderId="7" xfId="0" applyNumberFormat="1" applyFont="1" applyFill="1" applyBorder="1"/>
    <xf numFmtId="164" fontId="4" fillId="6" borderId="7" xfId="0" applyNumberFormat="1" applyFont="1" applyFill="1" applyBorder="1"/>
    <xf numFmtId="22" fontId="0" fillId="0" borderId="0" xfId="0" applyNumberFormat="1"/>
    <xf numFmtId="0" fontId="6" fillId="5" borderId="7" xfId="0" applyFont="1" applyFill="1" applyBorder="1" applyAlignment="1">
      <alignment horizontal="center" vertical="center"/>
    </xf>
    <xf numFmtId="0" fontId="4" fillId="0" borderId="7" xfId="0" quotePrefix="1" applyFont="1" applyBorder="1"/>
    <xf numFmtId="15" fontId="4" fillId="0" borderId="7" xfId="0" applyNumberFormat="1" applyFont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4" fillId="6" borderId="7" xfId="0" applyFont="1" applyFill="1" applyBorder="1"/>
    <xf numFmtId="14" fontId="0" fillId="0" borderId="0" xfId="0" applyNumberFormat="1"/>
    <xf numFmtId="165" fontId="5" fillId="4" borderId="6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52AB245-8DF2-4DAB-B875-6BA4B9C27A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8"/>
  <sheetViews>
    <sheetView workbookViewId="0">
      <selection activeCell="F3" sqref="F3"/>
    </sheetView>
  </sheetViews>
  <sheetFormatPr defaultColWidth="14.44140625" defaultRowHeight="14.4" x14ac:dyDescent="0.3"/>
  <cols>
    <col min="1" max="1" width="8.6640625" customWidth="1"/>
    <col min="2" max="3" width="21.77734375" customWidth="1"/>
    <col min="4" max="26" width="8.6640625" customWidth="1"/>
  </cols>
  <sheetData>
    <row r="2" spans="2:5" ht="14.4" customHeight="1" x14ac:dyDescent="0.3">
      <c r="B2" s="15" t="s">
        <v>27</v>
      </c>
      <c r="C2" s="16"/>
    </row>
    <row r="3" spans="2:5" ht="39.450000000000003" customHeight="1" x14ac:dyDescent="0.3">
      <c r="B3" s="17"/>
      <c r="C3" s="18"/>
    </row>
    <row r="5" spans="2:5" ht="24.6" customHeight="1" x14ac:dyDescent="0.3">
      <c r="B5" s="1" t="s">
        <v>0</v>
      </c>
      <c r="C5" s="1" t="s">
        <v>1</v>
      </c>
    </row>
    <row r="6" spans="2:5" ht="15.6" customHeight="1" x14ac:dyDescent="0.3">
      <c r="B6" s="2">
        <v>20051220</v>
      </c>
      <c r="C6" s="14" t="str">
        <f>TEXT(DATE(LEFT(B6,4),MID(B6,5,2),RIGHT(B6,2)),"mm/dd/yyyy")</f>
        <v>12/20/2005</v>
      </c>
    </row>
    <row r="7" spans="2:5" ht="15.6" customHeight="1" x14ac:dyDescent="0.3">
      <c r="B7" s="2">
        <v>20061202</v>
      </c>
      <c r="C7" s="14" t="str">
        <f t="shared" ref="C7:C14" si="0">TEXT(DATE(LEFT(B7,4),MID(B7,5,2),RIGHT(B7,2)),"mm/dd/yyyy")</f>
        <v>12/02/2006</v>
      </c>
      <c r="E7" t="str">
        <f ca="1">_xlfn.FORMULATEXT(C6)</f>
        <v>=TEXT(DATE(LEFT(B6,4),MID(B6,5,2),RIGHT(B6,2)),"mm/dd/yyyy")</v>
      </c>
    </row>
    <row r="8" spans="2:5" ht="15.6" customHeight="1" x14ac:dyDescent="0.3">
      <c r="B8" s="2">
        <v>20070112</v>
      </c>
      <c r="C8" s="14" t="str">
        <f t="shared" si="0"/>
        <v>01/12/2007</v>
      </c>
    </row>
    <row r="9" spans="2:5" ht="15.6" customHeight="1" x14ac:dyDescent="0.3">
      <c r="B9" s="2">
        <v>20070519</v>
      </c>
      <c r="C9" s="14" t="str">
        <f t="shared" si="0"/>
        <v>05/19/2007</v>
      </c>
    </row>
    <row r="10" spans="2:5" ht="15.6" customHeight="1" x14ac:dyDescent="0.3">
      <c r="B10" s="2">
        <v>20070523</v>
      </c>
      <c r="C10" s="14" t="str">
        <f t="shared" si="0"/>
        <v>05/23/2007</v>
      </c>
    </row>
    <row r="11" spans="2:5" ht="15.6" customHeight="1" x14ac:dyDescent="0.3">
      <c r="B11" s="2">
        <v>20070623</v>
      </c>
      <c r="C11" s="14" t="str">
        <f t="shared" si="0"/>
        <v>06/23/2007</v>
      </c>
    </row>
    <row r="12" spans="2:5" ht="15.6" customHeight="1" x14ac:dyDescent="0.3">
      <c r="B12" s="2">
        <v>20070624</v>
      </c>
      <c r="C12" s="14" t="str">
        <f t="shared" si="0"/>
        <v>06/24/2007</v>
      </c>
    </row>
    <row r="13" spans="2:5" ht="15.6" customHeight="1" x14ac:dyDescent="0.3">
      <c r="B13" s="2">
        <v>20071017</v>
      </c>
      <c r="C13" s="14" t="str">
        <f t="shared" si="0"/>
        <v>10/17/2007</v>
      </c>
    </row>
    <row r="14" spans="2:5" ht="15.6" customHeight="1" x14ac:dyDescent="0.3">
      <c r="B14" s="2">
        <v>20080419</v>
      </c>
      <c r="C14" s="14" t="str">
        <f t="shared" si="0"/>
        <v>04/19/2008</v>
      </c>
    </row>
    <row r="18" spans="2:2" x14ac:dyDescent="0.3">
      <c r="B18" s="3" t="s">
        <v>2</v>
      </c>
    </row>
  </sheetData>
  <mergeCells count="1">
    <mergeCell ref="B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0194-8459-4341-89A6-78C46B1C64AE}">
  <dimension ref="B1:K1000"/>
  <sheetViews>
    <sheetView tabSelected="1" workbookViewId="0">
      <selection activeCell="J6" sqref="J6"/>
    </sheetView>
  </sheetViews>
  <sheetFormatPr defaultColWidth="14.44140625" defaultRowHeight="14.4" x14ac:dyDescent="0.3"/>
  <cols>
    <col min="1" max="1" width="8.6640625" customWidth="1"/>
    <col min="2" max="2" width="19.5546875" customWidth="1"/>
    <col min="3" max="3" width="10.6640625" customWidth="1"/>
    <col min="4" max="4" width="8.6640625" customWidth="1"/>
    <col min="5" max="5" width="16.21875" customWidth="1"/>
    <col min="6" max="6" width="16.6640625" customWidth="1"/>
    <col min="7" max="7" width="10.33203125" bestFit="1" customWidth="1"/>
    <col min="8" max="8" width="12" customWidth="1"/>
    <col min="9" max="9" width="31.21875" customWidth="1"/>
    <col min="10" max="10" width="8.6640625" customWidth="1"/>
    <col min="11" max="11" width="15.44140625" bestFit="1" customWidth="1"/>
    <col min="12" max="26" width="8.6640625" customWidth="1"/>
  </cols>
  <sheetData>
    <row r="1" spans="2:11" ht="14.25" customHeight="1" x14ac:dyDescent="0.3"/>
    <row r="2" spans="2:11" ht="14.25" customHeight="1" x14ac:dyDescent="0.3"/>
    <row r="3" spans="2:11" ht="14.25" customHeight="1" x14ac:dyDescent="0.3">
      <c r="B3" s="4" t="s">
        <v>3</v>
      </c>
      <c r="C3" s="5">
        <f ca="1">TODAY()</f>
        <v>46181</v>
      </c>
      <c r="D3" t="str">
        <f ca="1">_xlfn.FORMULATEXT(C3)</f>
        <v>=TODAY()</v>
      </c>
      <c r="F3" s="4" t="s">
        <v>4</v>
      </c>
      <c r="G3" s="5">
        <v>45213</v>
      </c>
    </row>
    <row r="4" spans="2:11" ht="14.25" customHeight="1" x14ac:dyDescent="0.3">
      <c r="B4" s="4" t="s">
        <v>5</v>
      </c>
      <c r="C4" s="6">
        <f ca="1">NOW()</f>
        <v>46181.641721296299</v>
      </c>
      <c r="D4" t="str">
        <f ca="1">_xlfn.FORMULATEXT(C4)</f>
        <v>=NOW()</v>
      </c>
      <c r="F4" s="4" t="s">
        <v>6</v>
      </c>
      <c r="G4" s="6">
        <v>0.8027777777777777</v>
      </c>
    </row>
    <row r="5" spans="2:11" ht="14.25" customHeight="1" x14ac:dyDescent="0.3">
      <c r="K5" s="7"/>
    </row>
    <row r="6" spans="2:11" ht="14.25" customHeight="1" x14ac:dyDescent="0.3">
      <c r="B6" s="4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12</v>
      </c>
      <c r="H6" s="8" t="s">
        <v>13</v>
      </c>
      <c r="I6" s="8" t="s">
        <v>14</v>
      </c>
    </row>
    <row r="7" spans="2:11" ht="14.25" customHeight="1" x14ac:dyDescent="0.3">
      <c r="B7" s="9" t="s">
        <v>15</v>
      </c>
      <c r="C7" s="10">
        <v>36478</v>
      </c>
      <c r="D7" s="11">
        <f>DAY(C7)</f>
        <v>14</v>
      </c>
      <c r="E7" s="11">
        <f>MONTH(C7)</f>
        <v>11</v>
      </c>
      <c r="F7" s="11" t="str">
        <f>TEXT(C7,"mmmm")</f>
        <v>November</v>
      </c>
      <c r="G7" s="11">
        <f>YEAR(C7)</f>
        <v>1999</v>
      </c>
      <c r="H7" s="12">
        <f ca="1">DATEDIF(C7,TODAY(),"Y")</f>
        <v>26</v>
      </c>
      <c r="I7" s="11" t="str">
        <f ca="1">_xlfn.CONCAT(H7,"Year",E7,"Months",D7,"Days")</f>
        <v>26Year11Months14Days</v>
      </c>
    </row>
    <row r="8" spans="2:11" ht="14.25" customHeight="1" x14ac:dyDescent="0.3">
      <c r="B8" s="9" t="s">
        <v>16</v>
      </c>
      <c r="C8" s="10">
        <v>37027</v>
      </c>
      <c r="D8" s="11">
        <f t="shared" ref="D8:D18" si="0">DAY(C8)</f>
        <v>16</v>
      </c>
      <c r="E8" s="11">
        <f t="shared" ref="E8:E18" si="1">MONTH(C8)</f>
        <v>5</v>
      </c>
      <c r="F8" s="11" t="str">
        <f t="shared" ref="F8:F18" si="2">TEXT(C8,"mmmm")</f>
        <v>May</v>
      </c>
      <c r="G8" s="11">
        <f t="shared" ref="G8:G18" si="3">YEAR(C8)</f>
        <v>2001</v>
      </c>
      <c r="H8" s="12">
        <f t="shared" ref="H8:H18" ca="1" si="4">DATEDIF(C8,TODAY(),"Y")</f>
        <v>25</v>
      </c>
      <c r="I8" s="11" t="str">
        <f t="shared" ref="I8:I18" ca="1" si="5">_xlfn.CONCAT(H8,"Year",E8,"Months",D8,"Days")</f>
        <v>25Year5Months16Days</v>
      </c>
      <c r="K8" s="13"/>
    </row>
    <row r="9" spans="2:11" ht="14.25" customHeight="1" x14ac:dyDescent="0.3">
      <c r="B9" s="9" t="s">
        <v>17</v>
      </c>
      <c r="C9" s="10">
        <v>37946</v>
      </c>
      <c r="D9" s="11">
        <f t="shared" si="0"/>
        <v>21</v>
      </c>
      <c r="E9" s="11">
        <f t="shared" si="1"/>
        <v>11</v>
      </c>
      <c r="F9" s="11" t="str">
        <f t="shared" si="2"/>
        <v>November</v>
      </c>
      <c r="G9" s="11">
        <f t="shared" si="3"/>
        <v>2003</v>
      </c>
      <c r="H9" s="12">
        <f t="shared" ca="1" si="4"/>
        <v>22</v>
      </c>
      <c r="I9" s="11" t="str">
        <f t="shared" ca="1" si="5"/>
        <v>22Year11Months21Days</v>
      </c>
    </row>
    <row r="10" spans="2:11" ht="14.25" customHeight="1" x14ac:dyDescent="0.3">
      <c r="B10" s="9" t="s">
        <v>18</v>
      </c>
      <c r="C10" s="10">
        <v>38113</v>
      </c>
      <c r="D10" s="11">
        <f t="shared" si="0"/>
        <v>6</v>
      </c>
      <c r="E10" s="11">
        <f t="shared" si="1"/>
        <v>5</v>
      </c>
      <c r="F10" s="11" t="str">
        <f t="shared" si="2"/>
        <v>May</v>
      </c>
      <c r="G10" s="11">
        <f t="shared" si="3"/>
        <v>2004</v>
      </c>
      <c r="H10" s="12">
        <f t="shared" ca="1" si="4"/>
        <v>22</v>
      </c>
      <c r="I10" s="11" t="str">
        <f t="shared" ca="1" si="5"/>
        <v>22Year5Months6Days</v>
      </c>
    </row>
    <row r="11" spans="2:11" ht="14.25" customHeight="1" x14ac:dyDescent="0.3">
      <c r="B11" s="9" t="s">
        <v>19</v>
      </c>
      <c r="C11" s="10">
        <v>38449</v>
      </c>
      <c r="D11" s="11">
        <f t="shared" si="0"/>
        <v>7</v>
      </c>
      <c r="E11" s="11">
        <f t="shared" si="1"/>
        <v>4</v>
      </c>
      <c r="F11" s="11" t="str">
        <f t="shared" si="2"/>
        <v>April</v>
      </c>
      <c r="G11" s="11">
        <f t="shared" si="3"/>
        <v>2005</v>
      </c>
      <c r="H11" s="12">
        <f t="shared" ca="1" si="4"/>
        <v>21</v>
      </c>
      <c r="I11" s="11" t="str">
        <f t="shared" ca="1" si="5"/>
        <v>21Year4Months7Days</v>
      </c>
    </row>
    <row r="12" spans="2:11" ht="14.25" customHeight="1" x14ac:dyDescent="0.3">
      <c r="B12" s="9" t="s">
        <v>20</v>
      </c>
      <c r="C12" s="10">
        <v>39846</v>
      </c>
      <c r="D12" s="11">
        <f t="shared" si="0"/>
        <v>2</v>
      </c>
      <c r="E12" s="11">
        <f t="shared" si="1"/>
        <v>2</v>
      </c>
      <c r="F12" s="11" t="str">
        <f t="shared" si="2"/>
        <v>February</v>
      </c>
      <c r="G12" s="11">
        <f t="shared" si="3"/>
        <v>2009</v>
      </c>
      <c r="H12" s="12">
        <f t="shared" ca="1" si="4"/>
        <v>17</v>
      </c>
      <c r="I12" s="11" t="str">
        <f t="shared" ca="1" si="5"/>
        <v>17Year2Months2Days</v>
      </c>
    </row>
    <row r="13" spans="2:11" ht="14.25" customHeight="1" x14ac:dyDescent="0.3">
      <c r="B13" s="9" t="s">
        <v>21</v>
      </c>
      <c r="C13" s="10">
        <v>40330</v>
      </c>
      <c r="D13" s="11">
        <f t="shared" si="0"/>
        <v>1</v>
      </c>
      <c r="E13" s="11">
        <f t="shared" si="1"/>
        <v>6</v>
      </c>
      <c r="F13" s="11" t="str">
        <f t="shared" si="2"/>
        <v>June</v>
      </c>
      <c r="G13" s="11">
        <f t="shared" si="3"/>
        <v>2010</v>
      </c>
      <c r="H13" s="12">
        <f t="shared" ca="1" si="4"/>
        <v>16</v>
      </c>
      <c r="I13" s="11" t="str">
        <f t="shared" ca="1" si="5"/>
        <v>16Year6Months1Days</v>
      </c>
    </row>
    <row r="14" spans="2:11" ht="14.25" customHeight="1" x14ac:dyDescent="0.3">
      <c r="B14" s="9" t="s">
        <v>22</v>
      </c>
      <c r="C14" s="10">
        <v>40495</v>
      </c>
      <c r="D14" s="11">
        <f t="shared" si="0"/>
        <v>13</v>
      </c>
      <c r="E14" s="11">
        <f t="shared" si="1"/>
        <v>11</v>
      </c>
      <c r="F14" s="11" t="str">
        <f t="shared" si="2"/>
        <v>November</v>
      </c>
      <c r="G14" s="11">
        <f t="shared" si="3"/>
        <v>2010</v>
      </c>
      <c r="H14" s="12">
        <f t="shared" ca="1" si="4"/>
        <v>15</v>
      </c>
      <c r="I14" s="11" t="str">
        <f t="shared" ca="1" si="5"/>
        <v>15Year11Months13Days</v>
      </c>
    </row>
    <row r="15" spans="2:11" ht="14.25" customHeight="1" x14ac:dyDescent="0.3">
      <c r="B15" s="9" t="s">
        <v>23</v>
      </c>
      <c r="C15" s="10">
        <v>40574</v>
      </c>
      <c r="D15" s="11">
        <f t="shared" si="0"/>
        <v>31</v>
      </c>
      <c r="E15" s="11">
        <f t="shared" si="1"/>
        <v>1</v>
      </c>
      <c r="F15" s="11" t="str">
        <f t="shared" si="2"/>
        <v>January</v>
      </c>
      <c r="G15" s="11">
        <f t="shared" si="3"/>
        <v>2011</v>
      </c>
      <c r="H15" s="12">
        <f t="shared" ca="1" si="4"/>
        <v>15</v>
      </c>
      <c r="I15" s="11" t="str">
        <f t="shared" ca="1" si="5"/>
        <v>15Year1Months31Days</v>
      </c>
    </row>
    <row r="16" spans="2:11" ht="14.25" customHeight="1" x14ac:dyDescent="0.3">
      <c r="B16" s="9" t="s">
        <v>24</v>
      </c>
      <c r="C16" s="10">
        <v>41400</v>
      </c>
      <c r="D16" s="11">
        <f t="shared" si="0"/>
        <v>6</v>
      </c>
      <c r="E16" s="11">
        <f t="shared" si="1"/>
        <v>5</v>
      </c>
      <c r="F16" s="11" t="str">
        <f t="shared" si="2"/>
        <v>May</v>
      </c>
      <c r="G16" s="11">
        <f t="shared" si="3"/>
        <v>2013</v>
      </c>
      <c r="H16" s="12">
        <f t="shared" ca="1" si="4"/>
        <v>13</v>
      </c>
      <c r="I16" s="11" t="str">
        <f t="shared" ca="1" si="5"/>
        <v>13Year5Months6Days</v>
      </c>
    </row>
    <row r="17" spans="2:9" ht="14.25" customHeight="1" x14ac:dyDescent="0.3">
      <c r="B17" s="9" t="s">
        <v>25</v>
      </c>
      <c r="C17" s="10">
        <v>42027</v>
      </c>
      <c r="D17" s="11">
        <f t="shared" si="0"/>
        <v>23</v>
      </c>
      <c r="E17" s="11">
        <f t="shared" si="1"/>
        <v>1</v>
      </c>
      <c r="F17" s="11" t="str">
        <f t="shared" si="2"/>
        <v>January</v>
      </c>
      <c r="G17" s="11">
        <f t="shared" si="3"/>
        <v>2015</v>
      </c>
      <c r="H17" s="12">
        <f t="shared" ca="1" si="4"/>
        <v>11</v>
      </c>
      <c r="I17" s="11" t="str">
        <f t="shared" ca="1" si="5"/>
        <v>11Year1Months23Days</v>
      </c>
    </row>
    <row r="18" spans="2:9" ht="14.25" customHeight="1" x14ac:dyDescent="0.3">
      <c r="B18" s="9" t="s">
        <v>26</v>
      </c>
      <c r="C18" s="10">
        <v>42124</v>
      </c>
      <c r="D18" s="11">
        <f t="shared" si="0"/>
        <v>30</v>
      </c>
      <c r="E18" s="11">
        <f t="shared" si="1"/>
        <v>4</v>
      </c>
      <c r="F18" s="11" t="str">
        <f t="shared" si="2"/>
        <v>April</v>
      </c>
      <c r="G18" s="11">
        <f t="shared" si="3"/>
        <v>2015</v>
      </c>
      <c r="H18" s="12">
        <f t="shared" ca="1" si="4"/>
        <v>11</v>
      </c>
      <c r="I18" s="11" t="str">
        <f t="shared" ca="1" si="5"/>
        <v>11Year4Months30Days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customFormat="1" ht="14.25" customHeight="1" x14ac:dyDescent="0.3"/>
    <row r="34" customFormat="1" ht="14.25" customHeight="1" x14ac:dyDescent="0.3"/>
    <row r="35" customFormat="1" ht="14.25" customHeight="1" x14ac:dyDescent="0.3"/>
    <row r="36" customFormat="1" ht="14.25" customHeight="1" x14ac:dyDescent="0.3"/>
    <row r="37" customFormat="1" ht="14.25" customHeight="1" x14ac:dyDescent="0.3"/>
    <row r="38" customFormat="1" ht="14.25" customHeight="1" x14ac:dyDescent="0.3"/>
    <row r="39" customFormat="1" ht="14.25" customHeight="1" x14ac:dyDescent="0.3"/>
    <row r="40" customFormat="1" ht="14.25" customHeight="1" x14ac:dyDescent="0.3"/>
    <row r="41" customFormat="1" ht="14.25" customHeight="1" x14ac:dyDescent="0.3"/>
    <row r="42" customFormat="1" ht="14.25" customHeight="1" x14ac:dyDescent="0.3"/>
    <row r="43" customFormat="1" ht="14.25" customHeight="1" x14ac:dyDescent="0.3"/>
    <row r="44" customFormat="1" ht="14.25" customHeight="1" x14ac:dyDescent="0.3"/>
    <row r="45" customFormat="1" ht="14.25" customHeight="1" x14ac:dyDescent="0.3"/>
    <row r="46" customFormat="1" ht="14.25" customHeight="1" x14ac:dyDescent="0.3"/>
    <row r="47" customFormat="1" ht="14.25" customHeight="1" x14ac:dyDescent="0.3"/>
    <row r="48" customFormat="1" ht="14.25" customHeight="1" x14ac:dyDescent="0.3"/>
    <row r="49" customFormat="1" ht="14.25" customHeight="1" x14ac:dyDescent="0.3"/>
    <row r="50" customFormat="1" ht="14.25" customHeight="1" x14ac:dyDescent="0.3"/>
    <row r="51" customFormat="1" ht="14.25" customHeight="1" x14ac:dyDescent="0.3"/>
    <row r="52" customFormat="1" ht="14.25" customHeight="1" x14ac:dyDescent="0.3"/>
    <row r="53" customFormat="1" ht="14.25" customHeight="1" x14ac:dyDescent="0.3"/>
    <row r="54" customFormat="1" ht="14.25" customHeight="1" x14ac:dyDescent="0.3"/>
    <row r="55" customFormat="1" ht="14.25" customHeight="1" x14ac:dyDescent="0.3"/>
    <row r="56" customFormat="1" ht="14.25" customHeight="1" x14ac:dyDescent="0.3"/>
    <row r="57" customFormat="1" ht="14.25" customHeight="1" x14ac:dyDescent="0.3"/>
    <row r="58" customFormat="1" ht="14.25" customHeight="1" x14ac:dyDescent="0.3"/>
    <row r="59" customFormat="1" ht="14.25" customHeight="1" x14ac:dyDescent="0.3"/>
    <row r="60" customFormat="1" ht="14.25" customHeight="1" x14ac:dyDescent="0.3"/>
    <row r="61" customFormat="1" ht="14.25" customHeight="1" x14ac:dyDescent="0.3"/>
    <row r="62" customFormat="1" ht="14.25" customHeight="1" x14ac:dyDescent="0.3"/>
    <row r="63" customFormat="1" ht="14.25" customHeight="1" x14ac:dyDescent="0.3"/>
    <row r="64" customFormat="1" ht="14.25" customHeight="1" x14ac:dyDescent="0.3"/>
    <row r="65" customFormat="1" ht="14.25" customHeight="1" x14ac:dyDescent="0.3"/>
    <row r="66" customFormat="1" ht="14.25" customHeight="1" x14ac:dyDescent="0.3"/>
    <row r="67" customFormat="1" ht="14.25" customHeight="1" x14ac:dyDescent="0.3"/>
    <row r="68" customFormat="1" ht="14.25" customHeight="1" x14ac:dyDescent="0.3"/>
    <row r="69" customFormat="1" ht="14.25" customHeight="1" x14ac:dyDescent="0.3"/>
    <row r="70" customFormat="1" ht="14.25" customHeight="1" x14ac:dyDescent="0.3"/>
    <row r="71" customFormat="1" ht="14.25" customHeight="1" x14ac:dyDescent="0.3"/>
    <row r="72" customFormat="1" ht="14.25" customHeight="1" x14ac:dyDescent="0.3"/>
    <row r="73" customFormat="1" ht="14.25" customHeight="1" x14ac:dyDescent="0.3"/>
    <row r="74" customFormat="1" ht="14.25" customHeight="1" x14ac:dyDescent="0.3"/>
    <row r="75" customFormat="1" ht="14.25" customHeight="1" x14ac:dyDescent="0.3"/>
    <row r="76" customFormat="1" ht="14.25" customHeight="1" x14ac:dyDescent="0.3"/>
    <row r="77" customFormat="1" ht="14.25" customHeight="1" x14ac:dyDescent="0.3"/>
    <row r="78" customFormat="1" ht="14.25" customHeight="1" x14ac:dyDescent="0.3"/>
    <row r="79" customFormat="1" ht="14.25" customHeight="1" x14ac:dyDescent="0.3"/>
    <row r="80" customFormat="1" ht="14.25" customHeight="1" x14ac:dyDescent="0.3"/>
    <row r="81" customFormat="1" ht="14.25" customHeight="1" x14ac:dyDescent="0.3"/>
    <row r="82" customFormat="1" ht="14.25" customHeight="1" x14ac:dyDescent="0.3"/>
    <row r="83" customFormat="1" ht="14.25" customHeight="1" x14ac:dyDescent="0.3"/>
    <row r="84" customFormat="1" ht="14.25" customHeight="1" x14ac:dyDescent="0.3"/>
    <row r="85" customFormat="1" ht="14.25" customHeight="1" x14ac:dyDescent="0.3"/>
    <row r="86" customFormat="1" ht="14.25" customHeight="1" x14ac:dyDescent="0.3"/>
    <row r="87" customFormat="1" ht="14.25" customHeight="1" x14ac:dyDescent="0.3"/>
    <row r="88" customFormat="1" ht="14.25" customHeight="1" x14ac:dyDescent="0.3"/>
    <row r="89" customFormat="1" ht="14.25" customHeight="1" x14ac:dyDescent="0.3"/>
    <row r="90" customFormat="1" ht="14.25" customHeight="1" x14ac:dyDescent="0.3"/>
    <row r="91" customFormat="1" ht="14.25" customHeight="1" x14ac:dyDescent="0.3"/>
    <row r="92" customFormat="1" ht="14.25" customHeight="1" x14ac:dyDescent="0.3"/>
    <row r="93" customFormat="1" ht="14.25" customHeight="1" x14ac:dyDescent="0.3"/>
    <row r="94" customFormat="1" ht="14.25" customHeight="1" x14ac:dyDescent="0.3"/>
    <row r="95" customFormat="1" ht="14.25" customHeight="1" x14ac:dyDescent="0.3"/>
    <row r="96" customFormat="1" ht="14.25" customHeight="1" x14ac:dyDescent="0.3"/>
    <row r="97" customFormat="1" ht="14.25" customHeight="1" x14ac:dyDescent="0.3"/>
    <row r="98" customFormat="1" ht="14.25" customHeight="1" x14ac:dyDescent="0.3"/>
    <row r="99" customFormat="1" ht="14.25" customHeight="1" x14ac:dyDescent="0.3"/>
    <row r="100" customFormat="1" ht="14.25" customHeight="1" x14ac:dyDescent="0.3"/>
    <row r="101" customFormat="1" ht="14.25" customHeight="1" x14ac:dyDescent="0.3"/>
    <row r="102" customFormat="1" ht="14.25" customHeight="1" x14ac:dyDescent="0.3"/>
    <row r="103" customFormat="1" ht="14.25" customHeight="1" x14ac:dyDescent="0.3"/>
    <row r="104" customFormat="1" ht="14.25" customHeight="1" x14ac:dyDescent="0.3"/>
    <row r="105" customFormat="1" ht="14.25" customHeight="1" x14ac:dyDescent="0.3"/>
    <row r="106" customFormat="1" ht="14.25" customHeight="1" x14ac:dyDescent="0.3"/>
    <row r="107" customFormat="1" ht="14.25" customHeight="1" x14ac:dyDescent="0.3"/>
    <row r="108" customFormat="1" ht="14.25" customHeight="1" x14ac:dyDescent="0.3"/>
    <row r="109" customFormat="1" ht="14.25" customHeight="1" x14ac:dyDescent="0.3"/>
    <row r="110" customFormat="1" ht="14.25" customHeight="1" x14ac:dyDescent="0.3"/>
    <row r="111" customFormat="1" ht="14.25" customHeight="1" x14ac:dyDescent="0.3"/>
    <row r="112" customFormat="1" ht="14.25" customHeight="1" x14ac:dyDescent="0.3"/>
    <row r="113" customFormat="1" ht="14.25" customHeight="1" x14ac:dyDescent="0.3"/>
    <row r="114" customFormat="1" ht="14.25" customHeight="1" x14ac:dyDescent="0.3"/>
    <row r="115" customFormat="1" ht="14.25" customHeight="1" x14ac:dyDescent="0.3"/>
    <row r="116" customFormat="1" ht="14.25" customHeight="1" x14ac:dyDescent="0.3"/>
    <row r="117" customFormat="1" ht="14.25" customHeight="1" x14ac:dyDescent="0.3"/>
    <row r="118" customFormat="1" ht="14.25" customHeight="1" x14ac:dyDescent="0.3"/>
    <row r="119" customFormat="1" ht="14.25" customHeight="1" x14ac:dyDescent="0.3"/>
    <row r="120" customFormat="1" ht="14.25" customHeight="1" x14ac:dyDescent="0.3"/>
    <row r="121" customFormat="1" ht="14.25" customHeight="1" x14ac:dyDescent="0.3"/>
    <row r="122" customFormat="1" ht="14.25" customHeight="1" x14ac:dyDescent="0.3"/>
    <row r="123" customFormat="1" ht="14.25" customHeight="1" x14ac:dyDescent="0.3"/>
    <row r="124" customFormat="1" ht="14.25" customHeight="1" x14ac:dyDescent="0.3"/>
    <row r="125" customFormat="1" ht="14.25" customHeight="1" x14ac:dyDescent="0.3"/>
    <row r="126" customFormat="1" ht="14.25" customHeight="1" x14ac:dyDescent="0.3"/>
    <row r="127" customFormat="1" ht="14.25" customHeight="1" x14ac:dyDescent="0.3"/>
    <row r="128" customFormat="1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6001-A73B-4CB0-AD3D-091C2E97298E}">
  <dimension ref="B2:E19"/>
  <sheetViews>
    <sheetView workbookViewId="0">
      <selection activeCell="D16" sqref="D16"/>
    </sheetView>
  </sheetViews>
  <sheetFormatPr defaultRowHeight="14.4" x14ac:dyDescent="0.3"/>
  <cols>
    <col min="3" max="3" width="10.33203125" bestFit="1" customWidth="1"/>
    <col min="4" max="4" width="17.5546875" customWidth="1"/>
  </cols>
  <sheetData>
    <row r="2" spans="2:5" x14ac:dyDescent="0.3">
      <c r="B2" t="s">
        <v>28</v>
      </c>
      <c r="C2" t="s">
        <v>29</v>
      </c>
      <c r="D2" t="s">
        <v>30</v>
      </c>
      <c r="E2" t="s">
        <v>31</v>
      </c>
    </row>
    <row r="4" spans="2:5" x14ac:dyDescent="0.3">
      <c r="B4" t="s">
        <v>32</v>
      </c>
      <c r="C4" s="13">
        <f ca="1">TODAY()</f>
        <v>46181</v>
      </c>
      <c r="D4" t="str">
        <f ca="1">TEXT(C4,"m")</f>
        <v>6</v>
      </c>
    </row>
    <row r="5" spans="2:5" x14ac:dyDescent="0.3">
      <c r="B5" t="s">
        <v>33</v>
      </c>
      <c r="C5" s="13">
        <f t="shared" ref="C5:C7" ca="1" si="0">TODAY()</f>
        <v>46181</v>
      </c>
      <c r="D5" t="str">
        <f ca="1">TEXT(C5,"mm")</f>
        <v>06</v>
      </c>
    </row>
    <row r="6" spans="2:5" x14ac:dyDescent="0.3">
      <c r="B6" t="s">
        <v>34</v>
      </c>
      <c r="C6" s="13">
        <f t="shared" ca="1" si="0"/>
        <v>46181</v>
      </c>
      <c r="D6" t="str">
        <f ca="1">TEXT(C6,"mmm")</f>
        <v>Jun</v>
      </c>
    </row>
    <row r="7" spans="2:5" x14ac:dyDescent="0.3">
      <c r="B7" t="s">
        <v>35</v>
      </c>
      <c r="C7" s="13">
        <f t="shared" ca="1" si="0"/>
        <v>46181</v>
      </c>
      <c r="D7" t="str">
        <f ca="1">TEXT(C7,"mmmm")</f>
        <v>June</v>
      </c>
    </row>
    <row r="9" spans="2:5" x14ac:dyDescent="0.3">
      <c r="B9" t="s">
        <v>36</v>
      </c>
      <c r="C9" s="13">
        <f ca="1">TODAY()</f>
        <v>46181</v>
      </c>
      <c r="D9" t="str">
        <f ca="1">TEXT(C9,"y")</f>
        <v>26</v>
      </c>
    </row>
    <row r="10" spans="2:5" x14ac:dyDescent="0.3">
      <c r="B10" t="s">
        <v>37</v>
      </c>
      <c r="C10" s="13">
        <f t="shared" ref="C10:C12" ca="1" si="1">TODAY()</f>
        <v>46181</v>
      </c>
      <c r="D10" t="str">
        <f ca="1">TEXT(C10,"yy")</f>
        <v>26</v>
      </c>
    </row>
    <row r="11" spans="2:5" x14ac:dyDescent="0.3">
      <c r="B11" t="s">
        <v>38</v>
      </c>
      <c r="C11" s="13">
        <f t="shared" ca="1" si="1"/>
        <v>46181</v>
      </c>
      <c r="D11" t="str">
        <f ca="1">TEXT(C11,"yyy")</f>
        <v>2026</v>
      </c>
    </row>
    <row r="12" spans="2:5" x14ac:dyDescent="0.3">
      <c r="B12" t="s">
        <v>39</v>
      </c>
      <c r="C12" s="13">
        <f t="shared" ca="1" si="1"/>
        <v>46181</v>
      </c>
      <c r="D12" t="str">
        <f ca="1">TEXT(C12,"yyyy")</f>
        <v>2026</v>
      </c>
    </row>
    <row r="14" spans="2:5" x14ac:dyDescent="0.3">
      <c r="C14" t="s">
        <v>40</v>
      </c>
    </row>
    <row r="16" spans="2:5" x14ac:dyDescent="0.3">
      <c r="B16" t="s">
        <v>41</v>
      </c>
      <c r="C16" t="s">
        <v>44</v>
      </c>
    </row>
    <row r="17" spans="2:3" x14ac:dyDescent="0.3">
      <c r="B17" t="s">
        <v>42</v>
      </c>
      <c r="C17" t="s">
        <v>44</v>
      </c>
    </row>
    <row r="18" spans="2:3" x14ac:dyDescent="0.3">
      <c r="B18" t="s">
        <v>43</v>
      </c>
      <c r="C18" t="s">
        <v>44</v>
      </c>
    </row>
    <row r="19" spans="2:3" x14ac:dyDescent="0.3">
      <c r="B19" t="s">
        <v>45</v>
      </c>
      <c r="C1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Date1</vt:lpstr>
      <vt:lpstr>Date2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vedanti kingri</cp:lastModifiedBy>
  <dcterms:created xsi:type="dcterms:W3CDTF">2015-06-05T18:17:20Z</dcterms:created>
  <dcterms:modified xsi:type="dcterms:W3CDTF">2026-06-08T09:54:10Z</dcterms:modified>
</cp:coreProperties>
</file>