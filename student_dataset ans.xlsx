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F189DDDC-0062-4F37-8F6C-4877D7B4416D}" xr6:coauthVersionLast="47" xr6:coauthVersionMax="47" xr10:uidLastSave="{00000000-0000-0000-0000-000000000000}"/>
  <bookViews>
    <workbookView xWindow="-108" yWindow="-108" windowWidth="23256" windowHeight="13176" xr2:uid="{1D6B1385-D6D5-496E-9337-659AB303FB3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2" i="1"/>
  <c r="J2" i="1" s="1"/>
</calcChain>
</file>

<file path=xl/sharedStrings.xml><?xml version="1.0" encoding="utf-8"?>
<sst xmlns="http://schemas.openxmlformats.org/spreadsheetml/2006/main" count="162" uniqueCount="142">
  <si>
    <t>rollno</t>
  </si>
  <si>
    <t>first_name</t>
  </si>
  <si>
    <t>middle_name</t>
  </si>
  <si>
    <t>last_name</t>
  </si>
  <si>
    <t>maths</t>
  </si>
  <si>
    <t>english</t>
  </si>
  <si>
    <t>physics</t>
  </si>
  <si>
    <t>chemistry</t>
  </si>
  <si>
    <t>Aarav</t>
  </si>
  <si>
    <t>Kumar</t>
  </si>
  <si>
    <t>Sharma</t>
  </si>
  <si>
    <t>Ananya</t>
  </si>
  <si>
    <t>Singh</t>
  </si>
  <si>
    <t>Iyer</t>
  </si>
  <si>
    <t>Rohan</t>
  </si>
  <si>
    <t>Lal</t>
  </si>
  <si>
    <t>Gupta</t>
  </si>
  <si>
    <t>Ishani</t>
  </si>
  <si>
    <t>Devi</t>
  </si>
  <si>
    <t>Reddy</t>
  </si>
  <si>
    <t>Vihaan</t>
  </si>
  <si>
    <t>Prasad</t>
  </si>
  <si>
    <t>Patel</t>
  </si>
  <si>
    <t>Aditi</t>
  </si>
  <si>
    <t>Kumari</t>
  </si>
  <si>
    <t>Chatterjee</t>
  </si>
  <si>
    <t>Arjun</t>
  </si>
  <si>
    <t>Malhotra</t>
  </si>
  <si>
    <t>Sanya</t>
  </si>
  <si>
    <t>Preet</t>
  </si>
  <si>
    <t>Kaur</t>
  </si>
  <si>
    <t>Sai</t>
  </si>
  <si>
    <t>Kiran</t>
  </si>
  <si>
    <t>Venkatesh</t>
  </si>
  <si>
    <t>Meera</t>
  </si>
  <si>
    <t>Nair</t>
  </si>
  <si>
    <t>Pillai</t>
  </si>
  <si>
    <t>Kabir</t>
  </si>
  <si>
    <t>Das</t>
  </si>
  <si>
    <t>Mehta</t>
  </si>
  <si>
    <t>Anika</t>
  </si>
  <si>
    <t>Bano</t>
  </si>
  <si>
    <t>Khan</t>
  </si>
  <si>
    <t>Ishaan</t>
  </si>
  <si>
    <t>Chandra</t>
  </si>
  <si>
    <t>Bose</t>
  </si>
  <si>
    <t>Diya</t>
  </si>
  <si>
    <t>Sree</t>
  </si>
  <si>
    <t>Menon</t>
  </si>
  <si>
    <t>Yash</t>
  </si>
  <si>
    <t>Vardhan</t>
  </si>
  <si>
    <t>Joshi</t>
  </si>
  <si>
    <t>Zoya</t>
  </si>
  <si>
    <t>Akhtar</t>
  </si>
  <si>
    <t>Siddiqui</t>
  </si>
  <si>
    <t>Aaryan</t>
  </si>
  <si>
    <t>Raj</t>
  </si>
  <si>
    <t>Mishra</t>
  </si>
  <si>
    <t>Siddharth</t>
  </si>
  <si>
    <t>Gopal</t>
  </si>
  <si>
    <t>Deshmukh</t>
  </si>
  <si>
    <t>Kritika</t>
  </si>
  <si>
    <t>Rani</t>
  </si>
  <si>
    <t>Verma</t>
  </si>
  <si>
    <t>Advait</t>
  </si>
  <si>
    <t>Krishna</t>
  </si>
  <si>
    <t>Namboothiri</t>
  </si>
  <si>
    <t>Riya</t>
  </si>
  <si>
    <t>Sen</t>
  </si>
  <si>
    <t>Mukherjee</t>
  </si>
  <si>
    <t>Dev</t>
  </si>
  <si>
    <t>Anand</t>
  </si>
  <si>
    <t>Pandey</t>
  </si>
  <si>
    <t>Pooja</t>
  </si>
  <si>
    <t>Thakur</t>
  </si>
  <si>
    <t>Rahul</t>
  </si>
  <si>
    <t>Yadav</t>
  </si>
  <si>
    <t>Sneha</t>
  </si>
  <si>
    <t>Lata</t>
  </si>
  <si>
    <t>Gowda</t>
  </si>
  <si>
    <t>Manish</t>
  </si>
  <si>
    <t>Pratap</t>
  </si>
  <si>
    <t>Tanvi</t>
  </si>
  <si>
    <t>Naidu</t>
  </si>
  <si>
    <t>Hrithik</t>
  </si>
  <si>
    <t>Choudhury</t>
  </si>
  <si>
    <t>Sara</t>
  </si>
  <si>
    <t>Jahan</t>
  </si>
  <si>
    <t>Ansari</t>
  </si>
  <si>
    <t>Karthik</t>
  </si>
  <si>
    <t>Subramanian</t>
  </si>
  <si>
    <t>Raju</t>
  </si>
  <si>
    <t>Bhavna</t>
  </si>
  <si>
    <t>Ben</t>
  </si>
  <si>
    <t>Shah</t>
  </si>
  <si>
    <t>Vikram</t>
  </si>
  <si>
    <t>Aditya</t>
  </si>
  <si>
    <t>Rathore</t>
  </si>
  <si>
    <t>Prisha</t>
  </si>
  <si>
    <t>Srivastava</t>
  </si>
  <si>
    <t>Aryan</t>
  </si>
  <si>
    <t>Dutta</t>
  </si>
  <si>
    <t>Nandini</t>
  </si>
  <si>
    <t>Chauhan</t>
  </si>
  <si>
    <t>Ganesh</t>
  </si>
  <si>
    <t>Hegde</t>
  </si>
  <si>
    <t>Sonal</t>
  </si>
  <si>
    <t>Dhillon</t>
  </si>
  <si>
    <t>Aman</t>
  </si>
  <si>
    <t>Deep</t>
  </si>
  <si>
    <t>Bhardwaj</t>
  </si>
  <si>
    <t>Isha</t>
  </si>
  <si>
    <t>Agarwal</t>
  </si>
  <si>
    <t>Varun</t>
  </si>
  <si>
    <t>Shetty</t>
  </si>
  <si>
    <t>Kyra</t>
  </si>
  <si>
    <t>Gill</t>
  </si>
  <si>
    <t>Madhav</t>
  </si>
  <si>
    <t>Rao</t>
  </si>
  <si>
    <t>Kulkarni</t>
  </si>
  <si>
    <t>Janhvi</t>
  </si>
  <si>
    <t>Tiwari</t>
  </si>
  <si>
    <t>Reyansh</t>
  </si>
  <si>
    <t>Negi</t>
  </si>
  <si>
    <t>Tanya</t>
  </si>
  <si>
    <t>Murthy</t>
  </si>
  <si>
    <t>Om</t>
  </si>
  <si>
    <t>Prakash</t>
  </si>
  <si>
    <t>Patnaik</t>
  </si>
  <si>
    <t>Zainab</t>
  </si>
  <si>
    <t>Fatima</t>
  </si>
  <si>
    <t>Sheikh</t>
  </si>
  <si>
    <t>Abhinav</t>
  </si>
  <si>
    <t>Jha</t>
  </si>
  <si>
    <t>Navya</t>
  </si>
  <si>
    <t>Kashyap</t>
  </si>
  <si>
    <t>Pranav</t>
  </si>
  <si>
    <t>Sane</t>
  </si>
  <si>
    <t>Total</t>
  </si>
  <si>
    <t>Percentage</t>
  </si>
  <si>
    <t>GRADE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</si>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</sst>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218D-9643-4D1B-801A-B7B9B9C57A68}">
  <dimension ref="A1:L51"/>
  <sheetViews>
    <sheetView tabSelected="1" workbookViewId="0">
      <selection activeCell="L2" sqref="L2"/>
    </sheetView>
  </sheetViews>
  <sheetFormatPr defaultRowHeight="14.4" x14ac:dyDescent="0.3"/>
  <cols>
    <col min="10" max="10" width="16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  <c r="J1" t="s">
        <v>139</v>
      </c>
      <c r="K1" t="s">
        <v>141</v>
      </c>
      <c r="L1" t="s">
        <v>140</v>
      </c>
    </row>
    <row r="2" spans="1:12" x14ac:dyDescent="0.3">
      <c r="A2">
        <v>101</v>
      </c>
      <c r="B2" t="s">
        <v>8</v>
      </c>
      <c r="C2" t="s">
        <v>9</v>
      </c>
      <c r="D2" t="s">
        <v>10</v>
      </c>
      <c r="E2">
        <v>85</v>
      </c>
      <c r="F2">
        <v>78</v>
      </c>
      <c r="G2">
        <v>92</v>
      </c>
      <c r="H2">
        <v>88</v>
      </c>
      <c r="I2">
        <f>SUM(E2:H2)</f>
        <v>343</v>
      </c>
      <c r="J2" s="1">
        <f>I2/4</f>
        <v>85.75</v>
      </c>
      <c r="K2" t="str">
        <f>IF(OR(E2&gt;=40,F2&gt;=40,G2&gt;=40,H2&gt;=40),"PASS","FAIL")</f>
        <v>PASS</v>
      </c>
      <c r="L2" t="str">
        <f>IF(AND(J2&gt;0,J2&lt;38),"C",IF(AND(J2&gt;75),"B","A"))</f>
        <v>B</v>
      </c>
    </row>
    <row r="3" spans="1:12" x14ac:dyDescent="0.3">
      <c r="A3">
        <v>102</v>
      </c>
      <c r="B3" t="s">
        <v>11</v>
      </c>
      <c r="C3" t="s">
        <v>12</v>
      </c>
      <c r="D3" t="s">
        <v>13</v>
      </c>
      <c r="E3">
        <v>73</v>
      </c>
      <c r="F3">
        <v>75</v>
      </c>
      <c r="G3">
        <v>71</v>
      </c>
      <c r="H3">
        <v>70</v>
      </c>
      <c r="I3">
        <f t="shared" ref="I3:I51" si="0">SUM(E3:H3)</f>
        <v>289</v>
      </c>
      <c r="J3" s="1">
        <f t="shared" ref="J3:J51" si="1">I3/4</f>
        <v>72.25</v>
      </c>
      <c r="K3" t="str">
        <f t="shared" ref="K3:K51" si="2">IF(AND(E3&gt;=40,F3&gt;=40,G3&gt;=40,H3&gt;=40),"PASS","FAIL")</f>
        <v>PASS</v>
      </c>
      <c r="L3" t="str">
        <f t="shared" ref="L3:L51" si="3">IF(AND(J3&gt;0,J3&lt;38),"C",IF(AND(J3&gt;75),"B","A"))</f>
        <v>A</v>
      </c>
    </row>
    <row r="4" spans="1:12" x14ac:dyDescent="0.3">
      <c r="A4">
        <v>103</v>
      </c>
      <c r="B4" t="s">
        <v>14</v>
      </c>
      <c r="C4" t="s">
        <v>15</v>
      </c>
      <c r="D4" t="s">
        <v>16</v>
      </c>
      <c r="E4">
        <v>55</v>
      </c>
      <c r="F4">
        <v>62</v>
      </c>
      <c r="G4">
        <v>51</v>
      </c>
      <c r="H4">
        <v>58</v>
      </c>
      <c r="I4">
        <f t="shared" si="0"/>
        <v>226</v>
      </c>
      <c r="J4" s="1">
        <f t="shared" si="1"/>
        <v>56.5</v>
      </c>
      <c r="K4" t="str">
        <f t="shared" si="2"/>
        <v>PASS</v>
      </c>
      <c r="L4" t="str">
        <f t="shared" si="3"/>
        <v>A</v>
      </c>
    </row>
    <row r="5" spans="1:12" x14ac:dyDescent="0.3">
      <c r="A5">
        <v>104</v>
      </c>
      <c r="B5" t="s">
        <v>17</v>
      </c>
      <c r="C5" t="s">
        <v>18</v>
      </c>
      <c r="D5" t="s">
        <v>19</v>
      </c>
      <c r="E5">
        <v>25</v>
      </c>
      <c r="F5">
        <v>46</v>
      </c>
      <c r="G5">
        <v>65</v>
      </c>
      <c r="H5">
        <v>40</v>
      </c>
      <c r="I5">
        <f t="shared" si="0"/>
        <v>176</v>
      </c>
      <c r="J5" s="1">
        <f t="shared" si="1"/>
        <v>44</v>
      </c>
      <c r="K5" t="str">
        <f t="shared" si="2"/>
        <v>FAIL</v>
      </c>
      <c r="L5" t="str">
        <f t="shared" si="3"/>
        <v>A</v>
      </c>
    </row>
    <row r="6" spans="1:12" x14ac:dyDescent="0.3">
      <c r="A6">
        <v>105</v>
      </c>
      <c r="B6" t="s">
        <v>20</v>
      </c>
      <c r="C6" t="s">
        <v>21</v>
      </c>
      <c r="D6" t="s">
        <v>22</v>
      </c>
      <c r="E6">
        <v>65</v>
      </c>
      <c r="F6">
        <v>74</v>
      </c>
      <c r="G6">
        <v>68</v>
      </c>
      <c r="H6">
        <v>72</v>
      </c>
      <c r="I6">
        <f t="shared" si="0"/>
        <v>279</v>
      </c>
      <c r="J6" s="1">
        <f t="shared" si="1"/>
        <v>69.75</v>
      </c>
      <c r="K6" t="str">
        <f t="shared" si="2"/>
        <v>PASS</v>
      </c>
      <c r="L6" t="str">
        <f t="shared" si="3"/>
        <v>A</v>
      </c>
    </row>
    <row r="7" spans="1:12" x14ac:dyDescent="0.3">
      <c r="A7">
        <v>106</v>
      </c>
      <c r="B7" t="s">
        <v>23</v>
      </c>
      <c r="C7" t="s">
        <v>24</v>
      </c>
      <c r="D7" t="s">
        <v>25</v>
      </c>
      <c r="E7">
        <v>95</v>
      </c>
      <c r="F7">
        <v>94</v>
      </c>
      <c r="G7">
        <v>98</v>
      </c>
      <c r="H7">
        <v>96</v>
      </c>
      <c r="I7">
        <f t="shared" si="0"/>
        <v>383</v>
      </c>
      <c r="J7" s="1">
        <f t="shared" si="1"/>
        <v>95.75</v>
      </c>
      <c r="K7" t="str">
        <f t="shared" si="2"/>
        <v>PASS</v>
      </c>
      <c r="L7" t="str">
        <f t="shared" si="3"/>
        <v>B</v>
      </c>
    </row>
    <row r="8" spans="1:12" x14ac:dyDescent="0.3">
      <c r="A8">
        <v>107</v>
      </c>
      <c r="B8" t="s">
        <v>26</v>
      </c>
      <c r="C8" t="s">
        <v>12</v>
      </c>
      <c r="D8" t="s">
        <v>27</v>
      </c>
      <c r="E8">
        <v>82</v>
      </c>
      <c r="F8">
        <v>80</v>
      </c>
      <c r="G8">
        <v>78</v>
      </c>
      <c r="H8">
        <v>85</v>
      </c>
      <c r="I8">
        <f t="shared" si="0"/>
        <v>325</v>
      </c>
      <c r="J8" s="1">
        <f t="shared" si="1"/>
        <v>81.25</v>
      </c>
      <c r="K8" t="str">
        <f t="shared" si="2"/>
        <v>PASS</v>
      </c>
      <c r="L8" t="str">
        <f t="shared" si="3"/>
        <v>B</v>
      </c>
    </row>
    <row r="9" spans="1:12" x14ac:dyDescent="0.3">
      <c r="A9">
        <v>108</v>
      </c>
      <c r="B9" t="s">
        <v>28</v>
      </c>
      <c r="C9" t="s">
        <v>29</v>
      </c>
      <c r="D9" t="s">
        <v>30</v>
      </c>
      <c r="E9">
        <v>74</v>
      </c>
      <c r="F9">
        <v>88</v>
      </c>
      <c r="G9">
        <v>72</v>
      </c>
      <c r="H9">
        <v>80</v>
      </c>
      <c r="I9">
        <f t="shared" si="0"/>
        <v>314</v>
      </c>
      <c r="J9" s="1">
        <f t="shared" si="1"/>
        <v>78.5</v>
      </c>
      <c r="K9" t="str">
        <f t="shared" si="2"/>
        <v>PASS</v>
      </c>
      <c r="L9" t="str">
        <f t="shared" si="3"/>
        <v>B</v>
      </c>
    </row>
    <row r="10" spans="1:12" x14ac:dyDescent="0.3">
      <c r="A10">
        <v>109</v>
      </c>
      <c r="B10" t="s">
        <v>31</v>
      </c>
      <c r="C10" t="s">
        <v>32</v>
      </c>
      <c r="D10" t="s">
        <v>33</v>
      </c>
      <c r="E10">
        <v>91</v>
      </c>
      <c r="F10">
        <v>85</v>
      </c>
      <c r="G10">
        <v>89</v>
      </c>
      <c r="H10">
        <v>87</v>
      </c>
      <c r="I10">
        <f t="shared" si="0"/>
        <v>352</v>
      </c>
      <c r="J10" s="1">
        <f t="shared" si="1"/>
        <v>88</v>
      </c>
      <c r="K10" t="str">
        <f t="shared" si="2"/>
        <v>PASS</v>
      </c>
      <c r="L10" t="str">
        <f t="shared" si="3"/>
        <v>B</v>
      </c>
    </row>
    <row r="11" spans="1:12" x14ac:dyDescent="0.3">
      <c r="A11">
        <v>110</v>
      </c>
      <c r="B11" t="s">
        <v>34</v>
      </c>
      <c r="C11" t="s">
        <v>35</v>
      </c>
      <c r="D11" t="s">
        <v>36</v>
      </c>
      <c r="E11">
        <v>88</v>
      </c>
      <c r="F11">
        <v>92</v>
      </c>
      <c r="G11">
        <v>84</v>
      </c>
      <c r="H11">
        <v>85</v>
      </c>
      <c r="I11">
        <f t="shared" si="0"/>
        <v>349</v>
      </c>
      <c r="J11" s="1">
        <f t="shared" si="1"/>
        <v>87.25</v>
      </c>
      <c r="K11" t="str">
        <f t="shared" si="2"/>
        <v>PASS</v>
      </c>
      <c r="L11" t="str">
        <f t="shared" si="3"/>
        <v>B</v>
      </c>
    </row>
    <row r="12" spans="1:12" x14ac:dyDescent="0.3">
      <c r="A12">
        <v>111</v>
      </c>
      <c r="B12" t="s">
        <v>37</v>
      </c>
      <c r="C12" t="s">
        <v>38</v>
      </c>
      <c r="D12" t="s">
        <v>39</v>
      </c>
      <c r="E12">
        <v>79</v>
      </c>
      <c r="F12">
        <v>76</v>
      </c>
      <c r="G12">
        <v>82</v>
      </c>
      <c r="H12">
        <v>81</v>
      </c>
      <c r="I12">
        <f t="shared" si="0"/>
        <v>318</v>
      </c>
      <c r="J12" s="1">
        <f t="shared" si="1"/>
        <v>79.5</v>
      </c>
      <c r="K12" t="str">
        <f t="shared" si="2"/>
        <v>PASS</v>
      </c>
      <c r="L12" t="str">
        <f t="shared" si="3"/>
        <v>B</v>
      </c>
    </row>
    <row r="13" spans="1:12" x14ac:dyDescent="0.3">
      <c r="A13">
        <v>112</v>
      </c>
      <c r="B13" t="s">
        <v>40</v>
      </c>
      <c r="C13" t="s">
        <v>41</v>
      </c>
      <c r="D13" t="s">
        <v>42</v>
      </c>
      <c r="E13">
        <v>84</v>
      </c>
      <c r="F13">
        <v>89</v>
      </c>
      <c r="G13">
        <v>80</v>
      </c>
      <c r="H13">
        <v>83</v>
      </c>
      <c r="I13">
        <f t="shared" si="0"/>
        <v>336</v>
      </c>
      <c r="J13" s="1">
        <f t="shared" si="1"/>
        <v>84</v>
      </c>
      <c r="K13" t="str">
        <f t="shared" si="2"/>
        <v>PASS</v>
      </c>
      <c r="L13" t="str">
        <f t="shared" si="3"/>
        <v>B</v>
      </c>
    </row>
    <row r="14" spans="1:12" x14ac:dyDescent="0.3">
      <c r="A14">
        <v>113</v>
      </c>
      <c r="B14" t="s">
        <v>43</v>
      </c>
      <c r="C14" t="s">
        <v>44</v>
      </c>
      <c r="D14" t="s">
        <v>45</v>
      </c>
      <c r="E14">
        <v>93</v>
      </c>
      <c r="F14">
        <v>87</v>
      </c>
      <c r="G14">
        <v>95</v>
      </c>
      <c r="H14">
        <v>91</v>
      </c>
      <c r="I14">
        <f t="shared" si="0"/>
        <v>366</v>
      </c>
      <c r="J14" s="1">
        <f t="shared" si="1"/>
        <v>91.5</v>
      </c>
      <c r="K14" t="str">
        <f t="shared" si="2"/>
        <v>PASS</v>
      </c>
      <c r="L14" t="str">
        <f t="shared" si="3"/>
        <v>B</v>
      </c>
    </row>
    <row r="15" spans="1:12" x14ac:dyDescent="0.3">
      <c r="A15">
        <v>114</v>
      </c>
      <c r="B15" t="s">
        <v>46</v>
      </c>
      <c r="C15" t="s">
        <v>47</v>
      </c>
      <c r="D15" t="s">
        <v>48</v>
      </c>
      <c r="E15">
        <v>77</v>
      </c>
      <c r="F15">
        <v>85</v>
      </c>
      <c r="G15">
        <v>74</v>
      </c>
      <c r="H15">
        <v>78</v>
      </c>
      <c r="I15">
        <f t="shared" si="0"/>
        <v>314</v>
      </c>
      <c r="J15" s="1">
        <f t="shared" si="1"/>
        <v>78.5</v>
      </c>
      <c r="K15" t="str">
        <f t="shared" si="2"/>
        <v>PASS</v>
      </c>
      <c r="L15" t="str">
        <f t="shared" si="3"/>
        <v>B</v>
      </c>
    </row>
    <row r="16" spans="1:12" x14ac:dyDescent="0.3">
      <c r="A16">
        <v>115</v>
      </c>
      <c r="B16" t="s">
        <v>49</v>
      </c>
      <c r="C16" t="s">
        <v>50</v>
      </c>
      <c r="D16" t="s">
        <v>51</v>
      </c>
      <c r="E16">
        <v>81</v>
      </c>
      <c r="F16">
        <v>79</v>
      </c>
      <c r="G16">
        <v>83</v>
      </c>
      <c r="H16">
        <v>86</v>
      </c>
      <c r="I16">
        <f t="shared" si="0"/>
        <v>329</v>
      </c>
      <c r="J16" s="1">
        <f t="shared" si="1"/>
        <v>82.25</v>
      </c>
      <c r="K16" t="str">
        <f t="shared" si="2"/>
        <v>PASS</v>
      </c>
      <c r="L16" t="str">
        <f t="shared" si="3"/>
        <v>B</v>
      </c>
    </row>
    <row r="17" spans="1:12" x14ac:dyDescent="0.3">
      <c r="A17">
        <v>116</v>
      </c>
      <c r="B17" t="s">
        <v>52</v>
      </c>
      <c r="C17" t="s">
        <v>53</v>
      </c>
      <c r="D17" t="s">
        <v>54</v>
      </c>
      <c r="E17">
        <v>86</v>
      </c>
      <c r="F17">
        <v>90</v>
      </c>
      <c r="G17">
        <v>82</v>
      </c>
      <c r="H17">
        <v>88</v>
      </c>
      <c r="I17">
        <f t="shared" si="0"/>
        <v>346</v>
      </c>
      <c r="J17" s="1">
        <f t="shared" si="1"/>
        <v>86.5</v>
      </c>
      <c r="K17" t="str">
        <f t="shared" si="2"/>
        <v>PASS</v>
      </c>
      <c r="L17" t="str">
        <f t="shared" si="3"/>
        <v>B</v>
      </c>
    </row>
    <row r="18" spans="1:12" x14ac:dyDescent="0.3">
      <c r="A18">
        <v>117</v>
      </c>
      <c r="B18" t="s">
        <v>55</v>
      </c>
      <c r="C18" t="s">
        <v>56</v>
      </c>
      <c r="D18" t="s">
        <v>57</v>
      </c>
      <c r="E18">
        <v>68</v>
      </c>
      <c r="F18">
        <v>72</v>
      </c>
      <c r="G18">
        <v>65</v>
      </c>
      <c r="H18">
        <v>70</v>
      </c>
      <c r="I18">
        <f t="shared" si="0"/>
        <v>275</v>
      </c>
      <c r="J18" s="1">
        <f t="shared" si="1"/>
        <v>68.75</v>
      </c>
      <c r="K18" t="str">
        <f t="shared" si="2"/>
        <v>PASS</v>
      </c>
      <c r="L18" t="str">
        <f t="shared" si="3"/>
        <v>A</v>
      </c>
    </row>
    <row r="19" spans="1:12" x14ac:dyDescent="0.3">
      <c r="A19">
        <v>118</v>
      </c>
      <c r="B19" t="s">
        <v>58</v>
      </c>
      <c r="C19" t="s">
        <v>59</v>
      </c>
      <c r="D19" t="s">
        <v>60</v>
      </c>
      <c r="E19">
        <v>90</v>
      </c>
      <c r="F19">
        <v>84</v>
      </c>
      <c r="G19">
        <v>88</v>
      </c>
      <c r="H19">
        <v>89</v>
      </c>
      <c r="I19">
        <f t="shared" si="0"/>
        <v>351</v>
      </c>
      <c r="J19" s="1">
        <f t="shared" si="1"/>
        <v>87.75</v>
      </c>
      <c r="K19" t="str">
        <f t="shared" si="2"/>
        <v>PASS</v>
      </c>
      <c r="L19" t="str">
        <f t="shared" si="3"/>
        <v>B</v>
      </c>
    </row>
    <row r="20" spans="1:12" x14ac:dyDescent="0.3">
      <c r="A20">
        <v>119</v>
      </c>
      <c r="B20" t="s">
        <v>61</v>
      </c>
      <c r="C20" t="s">
        <v>62</v>
      </c>
      <c r="D20" t="s">
        <v>63</v>
      </c>
      <c r="E20">
        <v>85</v>
      </c>
      <c r="F20">
        <v>88</v>
      </c>
      <c r="G20">
        <v>81</v>
      </c>
      <c r="H20">
        <v>84</v>
      </c>
      <c r="I20">
        <f t="shared" si="0"/>
        <v>338</v>
      </c>
      <c r="J20" s="1">
        <f t="shared" si="1"/>
        <v>84.5</v>
      </c>
      <c r="K20" t="str">
        <f t="shared" si="2"/>
        <v>PASS</v>
      </c>
      <c r="L20" t="str">
        <f t="shared" si="3"/>
        <v>B</v>
      </c>
    </row>
    <row r="21" spans="1:12" x14ac:dyDescent="0.3">
      <c r="A21">
        <v>120</v>
      </c>
      <c r="B21" t="s">
        <v>64</v>
      </c>
      <c r="C21" t="s">
        <v>65</v>
      </c>
      <c r="D21" t="s">
        <v>66</v>
      </c>
      <c r="E21">
        <v>97</v>
      </c>
      <c r="F21">
        <v>93</v>
      </c>
      <c r="G21">
        <v>96</v>
      </c>
      <c r="H21">
        <v>94</v>
      </c>
      <c r="I21">
        <f t="shared" si="0"/>
        <v>380</v>
      </c>
      <c r="J21" s="1">
        <f t="shared" si="1"/>
        <v>95</v>
      </c>
      <c r="K21" t="str">
        <f t="shared" si="2"/>
        <v>PASS</v>
      </c>
      <c r="L21" t="str">
        <f t="shared" si="3"/>
        <v>B</v>
      </c>
    </row>
    <row r="22" spans="1:12" x14ac:dyDescent="0.3">
      <c r="A22">
        <v>121</v>
      </c>
      <c r="B22" t="s">
        <v>67</v>
      </c>
      <c r="C22" t="s">
        <v>68</v>
      </c>
      <c r="D22" t="s">
        <v>69</v>
      </c>
      <c r="E22">
        <v>82</v>
      </c>
      <c r="F22">
        <v>86</v>
      </c>
      <c r="G22">
        <v>79</v>
      </c>
      <c r="H22">
        <v>81</v>
      </c>
      <c r="I22">
        <f t="shared" si="0"/>
        <v>328</v>
      </c>
      <c r="J22" s="1">
        <f t="shared" si="1"/>
        <v>82</v>
      </c>
      <c r="K22" t="str">
        <f t="shared" si="2"/>
        <v>PASS</v>
      </c>
      <c r="L22" t="str">
        <f t="shared" si="3"/>
        <v>B</v>
      </c>
    </row>
    <row r="23" spans="1:12" x14ac:dyDescent="0.3">
      <c r="A23">
        <v>122</v>
      </c>
      <c r="B23" t="s">
        <v>70</v>
      </c>
      <c r="C23" t="s">
        <v>71</v>
      </c>
      <c r="D23" t="s">
        <v>72</v>
      </c>
      <c r="E23">
        <v>74</v>
      </c>
      <c r="F23">
        <v>78</v>
      </c>
      <c r="G23">
        <v>72</v>
      </c>
      <c r="H23">
        <v>75</v>
      </c>
      <c r="I23">
        <f t="shared" si="0"/>
        <v>299</v>
      </c>
      <c r="J23" s="1">
        <f t="shared" si="1"/>
        <v>74.75</v>
      </c>
      <c r="K23" t="str">
        <f t="shared" si="2"/>
        <v>PASS</v>
      </c>
      <c r="L23" t="str">
        <f t="shared" si="3"/>
        <v>A</v>
      </c>
    </row>
    <row r="24" spans="1:12" x14ac:dyDescent="0.3">
      <c r="A24">
        <v>123</v>
      </c>
      <c r="B24" t="s">
        <v>73</v>
      </c>
      <c r="C24" t="s">
        <v>62</v>
      </c>
      <c r="D24" t="s">
        <v>74</v>
      </c>
      <c r="E24">
        <v>89</v>
      </c>
      <c r="F24">
        <v>85</v>
      </c>
      <c r="G24">
        <v>87</v>
      </c>
      <c r="H24">
        <v>90</v>
      </c>
      <c r="I24">
        <f t="shared" si="0"/>
        <v>351</v>
      </c>
      <c r="J24" s="1">
        <f t="shared" si="1"/>
        <v>87.75</v>
      </c>
      <c r="K24" t="str">
        <f t="shared" si="2"/>
        <v>PASS</v>
      </c>
      <c r="L24" t="str">
        <f t="shared" si="3"/>
        <v>B</v>
      </c>
    </row>
    <row r="25" spans="1:12" x14ac:dyDescent="0.3">
      <c r="A25">
        <v>124</v>
      </c>
      <c r="B25" t="s">
        <v>75</v>
      </c>
      <c r="C25" t="s">
        <v>9</v>
      </c>
      <c r="D25" t="s">
        <v>76</v>
      </c>
      <c r="E25">
        <v>66</v>
      </c>
      <c r="F25">
        <v>70</v>
      </c>
      <c r="G25">
        <v>62</v>
      </c>
      <c r="H25">
        <v>68</v>
      </c>
      <c r="I25">
        <f t="shared" si="0"/>
        <v>266</v>
      </c>
      <c r="J25" s="1">
        <f t="shared" si="1"/>
        <v>66.5</v>
      </c>
      <c r="K25" t="str">
        <f t="shared" si="2"/>
        <v>PASS</v>
      </c>
      <c r="L25" t="str">
        <f t="shared" si="3"/>
        <v>A</v>
      </c>
    </row>
    <row r="26" spans="1:12" x14ac:dyDescent="0.3">
      <c r="A26">
        <v>125</v>
      </c>
      <c r="B26" t="s">
        <v>77</v>
      </c>
      <c r="C26" t="s">
        <v>78</v>
      </c>
      <c r="D26" t="s">
        <v>79</v>
      </c>
      <c r="E26">
        <v>83</v>
      </c>
      <c r="F26">
        <v>81</v>
      </c>
      <c r="G26">
        <v>85</v>
      </c>
      <c r="H26">
        <v>82</v>
      </c>
      <c r="I26">
        <f t="shared" si="0"/>
        <v>331</v>
      </c>
      <c r="J26" s="1">
        <f t="shared" si="1"/>
        <v>82.75</v>
      </c>
      <c r="K26" t="str">
        <f t="shared" si="2"/>
        <v>PASS</v>
      </c>
      <c r="L26" t="str">
        <f t="shared" si="3"/>
        <v>B</v>
      </c>
    </row>
    <row r="27" spans="1:12" x14ac:dyDescent="0.3">
      <c r="A27">
        <v>126</v>
      </c>
      <c r="B27" t="s">
        <v>80</v>
      </c>
      <c r="C27" t="s">
        <v>81</v>
      </c>
      <c r="D27" t="s">
        <v>12</v>
      </c>
      <c r="E27">
        <v>41</v>
      </c>
      <c r="F27">
        <v>13</v>
      </c>
      <c r="G27">
        <v>20</v>
      </c>
      <c r="H27">
        <v>77</v>
      </c>
      <c r="I27">
        <f t="shared" si="0"/>
        <v>151</v>
      </c>
      <c r="J27" s="1">
        <f t="shared" si="1"/>
        <v>37.75</v>
      </c>
      <c r="K27" t="str">
        <f t="shared" si="2"/>
        <v>FAIL</v>
      </c>
      <c r="L27" t="str">
        <f t="shared" si="3"/>
        <v>C</v>
      </c>
    </row>
    <row r="28" spans="1:12" x14ac:dyDescent="0.3">
      <c r="A28">
        <v>127</v>
      </c>
      <c r="B28" t="s">
        <v>82</v>
      </c>
      <c r="C28" t="s">
        <v>47</v>
      </c>
      <c r="D28" t="s">
        <v>83</v>
      </c>
      <c r="E28">
        <v>91</v>
      </c>
      <c r="F28">
        <v>94</v>
      </c>
      <c r="G28">
        <v>88</v>
      </c>
      <c r="H28">
        <v>92</v>
      </c>
      <c r="I28">
        <f t="shared" si="0"/>
        <v>365</v>
      </c>
      <c r="J28" s="1">
        <f t="shared" si="1"/>
        <v>91.25</v>
      </c>
      <c r="K28" t="str">
        <f t="shared" si="2"/>
        <v>PASS</v>
      </c>
      <c r="L28" t="str">
        <f t="shared" si="3"/>
        <v>B</v>
      </c>
    </row>
    <row r="29" spans="1:12" x14ac:dyDescent="0.3">
      <c r="A29">
        <v>128</v>
      </c>
      <c r="B29" t="s">
        <v>84</v>
      </c>
      <c r="C29" t="s">
        <v>9</v>
      </c>
      <c r="D29" t="s">
        <v>85</v>
      </c>
      <c r="E29">
        <v>85</v>
      </c>
      <c r="F29">
        <v>82</v>
      </c>
      <c r="G29">
        <v>84</v>
      </c>
      <c r="H29">
        <v>80</v>
      </c>
      <c r="I29">
        <f t="shared" si="0"/>
        <v>331</v>
      </c>
      <c r="J29" s="1">
        <f t="shared" si="1"/>
        <v>82.75</v>
      </c>
      <c r="K29" t="str">
        <f t="shared" si="2"/>
        <v>PASS</v>
      </c>
      <c r="L29" t="str">
        <f t="shared" si="3"/>
        <v>B</v>
      </c>
    </row>
    <row r="30" spans="1:12" x14ac:dyDescent="0.3">
      <c r="A30">
        <v>129</v>
      </c>
      <c r="B30" t="s">
        <v>86</v>
      </c>
      <c r="C30" t="s">
        <v>87</v>
      </c>
      <c r="D30" t="s">
        <v>88</v>
      </c>
      <c r="E30">
        <v>88</v>
      </c>
      <c r="F30">
        <v>91</v>
      </c>
      <c r="G30">
        <v>85</v>
      </c>
      <c r="H30">
        <v>87</v>
      </c>
      <c r="I30">
        <f t="shared" si="0"/>
        <v>351</v>
      </c>
      <c r="J30" s="1">
        <f t="shared" si="1"/>
        <v>87.75</v>
      </c>
      <c r="K30" t="str">
        <f t="shared" si="2"/>
        <v>PASS</v>
      </c>
      <c r="L30" t="str">
        <f t="shared" si="3"/>
        <v>B</v>
      </c>
    </row>
    <row r="31" spans="1:12" x14ac:dyDescent="0.3">
      <c r="A31">
        <v>130</v>
      </c>
      <c r="B31" t="s">
        <v>89</v>
      </c>
      <c r="C31" t="s">
        <v>90</v>
      </c>
      <c r="D31" t="s">
        <v>91</v>
      </c>
      <c r="E31">
        <v>94</v>
      </c>
      <c r="F31">
        <v>89</v>
      </c>
      <c r="G31">
        <v>92</v>
      </c>
      <c r="H31">
        <v>95</v>
      </c>
      <c r="I31">
        <f t="shared" si="0"/>
        <v>370</v>
      </c>
      <c r="J31" s="1">
        <f t="shared" si="1"/>
        <v>92.5</v>
      </c>
      <c r="K31" t="str">
        <f t="shared" si="2"/>
        <v>PASS</v>
      </c>
      <c r="L31" t="str">
        <f t="shared" si="3"/>
        <v>B</v>
      </c>
    </row>
    <row r="32" spans="1:12" x14ac:dyDescent="0.3">
      <c r="A32">
        <v>131</v>
      </c>
      <c r="B32" t="s">
        <v>92</v>
      </c>
      <c r="C32" t="s">
        <v>93</v>
      </c>
      <c r="D32" t="s">
        <v>94</v>
      </c>
      <c r="E32">
        <v>79</v>
      </c>
      <c r="F32">
        <v>83</v>
      </c>
      <c r="G32">
        <v>76</v>
      </c>
      <c r="H32">
        <v>78</v>
      </c>
      <c r="I32">
        <f t="shared" si="0"/>
        <v>316</v>
      </c>
      <c r="J32" s="1">
        <f t="shared" si="1"/>
        <v>79</v>
      </c>
      <c r="K32" t="str">
        <f t="shared" si="2"/>
        <v>PASS</v>
      </c>
      <c r="L32" t="str">
        <f t="shared" si="3"/>
        <v>B</v>
      </c>
    </row>
    <row r="33" spans="1:12" x14ac:dyDescent="0.3">
      <c r="A33">
        <v>132</v>
      </c>
      <c r="B33" t="s">
        <v>95</v>
      </c>
      <c r="C33" t="s">
        <v>96</v>
      </c>
      <c r="D33" t="s">
        <v>97</v>
      </c>
      <c r="E33">
        <v>82</v>
      </c>
      <c r="F33">
        <v>78</v>
      </c>
      <c r="G33">
        <v>85</v>
      </c>
      <c r="H33">
        <v>84</v>
      </c>
      <c r="I33">
        <f t="shared" si="0"/>
        <v>329</v>
      </c>
      <c r="J33" s="1">
        <f t="shared" si="1"/>
        <v>82.25</v>
      </c>
      <c r="K33" t="str">
        <f t="shared" si="2"/>
        <v>PASS</v>
      </c>
      <c r="L33" t="str">
        <f t="shared" si="3"/>
        <v>B</v>
      </c>
    </row>
    <row r="34" spans="1:12" x14ac:dyDescent="0.3">
      <c r="A34">
        <v>133</v>
      </c>
      <c r="B34" t="s">
        <v>98</v>
      </c>
      <c r="C34" t="s">
        <v>24</v>
      </c>
      <c r="D34" t="s">
        <v>99</v>
      </c>
      <c r="E34">
        <v>90</v>
      </c>
      <c r="F34">
        <v>92</v>
      </c>
      <c r="G34">
        <v>88</v>
      </c>
      <c r="H34">
        <v>91</v>
      </c>
      <c r="I34">
        <f t="shared" si="0"/>
        <v>361</v>
      </c>
      <c r="J34" s="1">
        <f t="shared" si="1"/>
        <v>90.25</v>
      </c>
      <c r="K34" t="str">
        <f t="shared" si="2"/>
        <v>PASS</v>
      </c>
      <c r="L34" t="str">
        <f t="shared" si="3"/>
        <v>B</v>
      </c>
    </row>
    <row r="35" spans="1:12" x14ac:dyDescent="0.3">
      <c r="A35">
        <v>134</v>
      </c>
      <c r="B35" t="s">
        <v>100</v>
      </c>
      <c r="C35" t="s">
        <v>56</v>
      </c>
      <c r="D35" t="s">
        <v>101</v>
      </c>
      <c r="E35">
        <v>72</v>
      </c>
      <c r="F35">
        <v>76</v>
      </c>
      <c r="G35">
        <v>70</v>
      </c>
      <c r="H35">
        <v>74</v>
      </c>
      <c r="I35">
        <f t="shared" si="0"/>
        <v>292</v>
      </c>
      <c r="J35" s="1">
        <f t="shared" si="1"/>
        <v>73</v>
      </c>
      <c r="K35" t="str">
        <f t="shared" si="2"/>
        <v>PASS</v>
      </c>
      <c r="L35" t="str">
        <f t="shared" si="3"/>
        <v>A</v>
      </c>
    </row>
    <row r="36" spans="1:12" x14ac:dyDescent="0.3">
      <c r="A36">
        <v>135</v>
      </c>
      <c r="B36" t="s">
        <v>102</v>
      </c>
      <c r="C36" t="s">
        <v>18</v>
      </c>
      <c r="D36" t="s">
        <v>103</v>
      </c>
      <c r="E36">
        <v>85</v>
      </c>
      <c r="F36">
        <v>87</v>
      </c>
      <c r="G36">
        <v>82</v>
      </c>
      <c r="H36">
        <v>86</v>
      </c>
      <c r="I36">
        <f t="shared" si="0"/>
        <v>340</v>
      </c>
      <c r="J36" s="1">
        <f t="shared" si="1"/>
        <v>85</v>
      </c>
      <c r="K36" t="str">
        <f t="shared" si="2"/>
        <v>PASS</v>
      </c>
      <c r="L36" t="str">
        <f t="shared" si="3"/>
        <v>B</v>
      </c>
    </row>
    <row r="37" spans="1:12" x14ac:dyDescent="0.3">
      <c r="A37">
        <v>136</v>
      </c>
      <c r="B37" t="s">
        <v>104</v>
      </c>
      <c r="C37" t="s">
        <v>9</v>
      </c>
      <c r="D37" t="s">
        <v>105</v>
      </c>
      <c r="E37">
        <v>88</v>
      </c>
      <c r="F37">
        <v>84</v>
      </c>
      <c r="G37">
        <v>90</v>
      </c>
      <c r="H37">
        <v>89</v>
      </c>
      <c r="I37">
        <f t="shared" si="0"/>
        <v>351</v>
      </c>
      <c r="J37" s="1">
        <f t="shared" si="1"/>
        <v>87.75</v>
      </c>
      <c r="K37" t="str">
        <f t="shared" si="2"/>
        <v>PASS</v>
      </c>
      <c r="L37" t="str">
        <f t="shared" si="3"/>
        <v>B</v>
      </c>
    </row>
    <row r="38" spans="1:12" x14ac:dyDescent="0.3">
      <c r="A38">
        <v>137</v>
      </c>
      <c r="B38" t="s">
        <v>106</v>
      </c>
      <c r="C38" t="s">
        <v>29</v>
      </c>
      <c r="D38" t="s">
        <v>107</v>
      </c>
      <c r="E38">
        <v>81</v>
      </c>
      <c r="F38">
        <v>89</v>
      </c>
      <c r="G38">
        <v>83</v>
      </c>
      <c r="H38">
        <v>85</v>
      </c>
      <c r="I38">
        <f t="shared" si="0"/>
        <v>338</v>
      </c>
      <c r="J38" s="1">
        <f t="shared" si="1"/>
        <v>84.5</v>
      </c>
      <c r="K38" t="str">
        <f t="shared" si="2"/>
        <v>PASS</v>
      </c>
      <c r="L38" t="str">
        <f t="shared" si="3"/>
        <v>B</v>
      </c>
    </row>
    <row r="39" spans="1:12" x14ac:dyDescent="0.3">
      <c r="A39">
        <v>138</v>
      </c>
      <c r="B39" t="s">
        <v>108</v>
      </c>
      <c r="C39" t="s">
        <v>109</v>
      </c>
      <c r="D39" t="s">
        <v>110</v>
      </c>
      <c r="E39">
        <v>76</v>
      </c>
      <c r="F39">
        <v>74</v>
      </c>
      <c r="G39">
        <v>78</v>
      </c>
      <c r="H39">
        <v>75</v>
      </c>
      <c r="I39">
        <f t="shared" si="0"/>
        <v>303</v>
      </c>
      <c r="J39" s="1">
        <f t="shared" si="1"/>
        <v>75.75</v>
      </c>
      <c r="K39" t="str">
        <f t="shared" si="2"/>
        <v>PASS</v>
      </c>
      <c r="L39" t="str">
        <f t="shared" si="3"/>
        <v>B</v>
      </c>
    </row>
    <row r="40" spans="1:12" x14ac:dyDescent="0.3">
      <c r="A40">
        <v>139</v>
      </c>
      <c r="B40" t="s">
        <v>111</v>
      </c>
      <c r="C40" t="s">
        <v>16</v>
      </c>
      <c r="D40" t="s">
        <v>112</v>
      </c>
      <c r="E40">
        <v>93</v>
      </c>
      <c r="F40">
        <v>95</v>
      </c>
      <c r="G40">
        <v>91</v>
      </c>
      <c r="H40">
        <v>94</v>
      </c>
      <c r="I40">
        <f t="shared" si="0"/>
        <v>373</v>
      </c>
      <c r="J40" s="1">
        <f t="shared" si="1"/>
        <v>93.25</v>
      </c>
      <c r="K40" t="str">
        <f t="shared" si="2"/>
        <v>PASS</v>
      </c>
      <c r="L40" t="str">
        <f t="shared" si="3"/>
        <v>B</v>
      </c>
    </row>
    <row r="41" spans="1:12" x14ac:dyDescent="0.3">
      <c r="A41">
        <v>140</v>
      </c>
      <c r="B41" t="s">
        <v>113</v>
      </c>
      <c r="C41" t="s">
        <v>21</v>
      </c>
      <c r="D41" t="s">
        <v>114</v>
      </c>
      <c r="E41">
        <v>84</v>
      </c>
      <c r="F41">
        <v>80</v>
      </c>
      <c r="G41">
        <v>86</v>
      </c>
      <c r="H41">
        <v>83</v>
      </c>
      <c r="I41">
        <f t="shared" si="0"/>
        <v>333</v>
      </c>
      <c r="J41" s="1">
        <f t="shared" si="1"/>
        <v>83.25</v>
      </c>
      <c r="K41" t="str">
        <f t="shared" si="2"/>
        <v>PASS</v>
      </c>
      <c r="L41" t="str">
        <f t="shared" si="3"/>
        <v>B</v>
      </c>
    </row>
    <row r="42" spans="1:12" x14ac:dyDescent="0.3">
      <c r="A42">
        <v>141</v>
      </c>
      <c r="B42" t="s">
        <v>115</v>
      </c>
      <c r="C42" t="s">
        <v>30</v>
      </c>
      <c r="D42" t="s">
        <v>116</v>
      </c>
      <c r="E42">
        <v>87</v>
      </c>
      <c r="F42">
        <v>90</v>
      </c>
      <c r="G42">
        <v>84</v>
      </c>
      <c r="H42">
        <v>88</v>
      </c>
      <c r="I42">
        <f t="shared" si="0"/>
        <v>349</v>
      </c>
      <c r="J42" s="1">
        <f t="shared" si="1"/>
        <v>87.25</v>
      </c>
      <c r="K42" t="str">
        <f t="shared" si="2"/>
        <v>PASS</v>
      </c>
      <c r="L42" t="str">
        <f t="shared" si="3"/>
        <v>B</v>
      </c>
    </row>
    <row r="43" spans="1:12" x14ac:dyDescent="0.3">
      <c r="A43">
        <v>142</v>
      </c>
      <c r="B43" t="s">
        <v>117</v>
      </c>
      <c r="C43" t="s">
        <v>118</v>
      </c>
      <c r="D43" t="s">
        <v>119</v>
      </c>
      <c r="E43">
        <v>80</v>
      </c>
      <c r="F43">
        <v>78</v>
      </c>
      <c r="G43">
        <v>82</v>
      </c>
      <c r="H43">
        <v>81</v>
      </c>
      <c r="I43">
        <f t="shared" si="0"/>
        <v>321</v>
      </c>
      <c r="J43" s="1">
        <f t="shared" si="1"/>
        <v>80.25</v>
      </c>
      <c r="K43" t="str">
        <f t="shared" si="2"/>
        <v>PASS</v>
      </c>
      <c r="L43" t="str">
        <f t="shared" si="3"/>
        <v>B</v>
      </c>
    </row>
    <row r="44" spans="1:12" x14ac:dyDescent="0.3">
      <c r="A44">
        <v>143</v>
      </c>
      <c r="B44" t="s">
        <v>120</v>
      </c>
      <c r="C44" t="s">
        <v>24</v>
      </c>
      <c r="D44" t="s">
        <v>121</v>
      </c>
      <c r="E44">
        <v>92</v>
      </c>
      <c r="F44">
        <v>88</v>
      </c>
      <c r="G44">
        <v>94</v>
      </c>
      <c r="H44">
        <v>90</v>
      </c>
      <c r="I44">
        <f t="shared" si="0"/>
        <v>364</v>
      </c>
      <c r="J44" s="1">
        <f t="shared" si="1"/>
        <v>91</v>
      </c>
      <c r="K44" t="str">
        <f t="shared" si="2"/>
        <v>PASS</v>
      </c>
      <c r="L44" t="str">
        <f t="shared" si="3"/>
        <v>B</v>
      </c>
    </row>
    <row r="45" spans="1:12" x14ac:dyDescent="0.3">
      <c r="A45">
        <v>144</v>
      </c>
      <c r="B45" t="s">
        <v>122</v>
      </c>
      <c r="C45" t="s">
        <v>12</v>
      </c>
      <c r="D45" t="s">
        <v>123</v>
      </c>
      <c r="E45">
        <v>75</v>
      </c>
      <c r="F45">
        <v>72</v>
      </c>
      <c r="G45">
        <v>78</v>
      </c>
      <c r="H45">
        <v>76</v>
      </c>
      <c r="I45">
        <f t="shared" si="0"/>
        <v>301</v>
      </c>
      <c r="J45" s="1">
        <f t="shared" si="1"/>
        <v>75.25</v>
      </c>
      <c r="K45" t="str">
        <f t="shared" si="2"/>
        <v>PASS</v>
      </c>
      <c r="L45" t="str">
        <f t="shared" si="3"/>
        <v>B</v>
      </c>
    </row>
    <row r="46" spans="1:12" x14ac:dyDescent="0.3">
      <c r="A46">
        <v>145</v>
      </c>
      <c r="B46" t="s">
        <v>124</v>
      </c>
      <c r="C46" t="s">
        <v>47</v>
      </c>
      <c r="D46" t="s">
        <v>125</v>
      </c>
      <c r="E46">
        <v>89</v>
      </c>
      <c r="F46">
        <v>93</v>
      </c>
      <c r="G46">
        <v>86</v>
      </c>
      <c r="H46">
        <v>88</v>
      </c>
      <c r="I46">
        <f t="shared" si="0"/>
        <v>356</v>
      </c>
      <c r="J46" s="1">
        <f t="shared" si="1"/>
        <v>89</v>
      </c>
      <c r="K46" t="str">
        <f t="shared" si="2"/>
        <v>PASS</v>
      </c>
      <c r="L46" t="str">
        <f t="shared" si="3"/>
        <v>B</v>
      </c>
    </row>
    <row r="47" spans="1:12" x14ac:dyDescent="0.3">
      <c r="A47">
        <v>146</v>
      </c>
      <c r="B47" t="s">
        <v>126</v>
      </c>
      <c r="C47" t="s">
        <v>127</v>
      </c>
      <c r="D47" t="s">
        <v>128</v>
      </c>
      <c r="E47">
        <v>82</v>
      </c>
      <c r="F47">
        <v>79</v>
      </c>
      <c r="G47">
        <v>84</v>
      </c>
      <c r="H47">
        <v>81</v>
      </c>
      <c r="I47">
        <f t="shared" si="0"/>
        <v>326</v>
      </c>
      <c r="J47" s="1">
        <f t="shared" si="1"/>
        <v>81.5</v>
      </c>
      <c r="K47" t="str">
        <f t="shared" si="2"/>
        <v>PASS</v>
      </c>
      <c r="L47" t="str">
        <f t="shared" si="3"/>
        <v>B</v>
      </c>
    </row>
    <row r="48" spans="1:12" x14ac:dyDescent="0.3">
      <c r="A48">
        <v>147</v>
      </c>
      <c r="B48" t="s">
        <v>129</v>
      </c>
      <c r="C48" t="s">
        <v>130</v>
      </c>
      <c r="D48" t="s">
        <v>131</v>
      </c>
      <c r="E48">
        <v>86</v>
      </c>
      <c r="F48">
        <v>88</v>
      </c>
      <c r="G48">
        <v>82</v>
      </c>
      <c r="H48">
        <v>85</v>
      </c>
      <c r="I48">
        <f t="shared" si="0"/>
        <v>341</v>
      </c>
      <c r="J48" s="1">
        <f t="shared" si="1"/>
        <v>85.25</v>
      </c>
      <c r="K48" t="str">
        <f t="shared" si="2"/>
        <v>PASS</v>
      </c>
      <c r="L48" t="str">
        <f t="shared" si="3"/>
        <v>B</v>
      </c>
    </row>
    <row r="49" spans="1:12" x14ac:dyDescent="0.3">
      <c r="A49">
        <v>148</v>
      </c>
      <c r="B49" t="s">
        <v>132</v>
      </c>
      <c r="C49" t="s">
        <v>9</v>
      </c>
      <c r="D49" t="s">
        <v>133</v>
      </c>
      <c r="E49">
        <v>91</v>
      </c>
      <c r="F49">
        <v>85</v>
      </c>
      <c r="G49">
        <v>89</v>
      </c>
      <c r="H49">
        <v>90</v>
      </c>
      <c r="I49">
        <f t="shared" si="0"/>
        <v>355</v>
      </c>
      <c r="J49" s="1">
        <f t="shared" si="1"/>
        <v>88.75</v>
      </c>
      <c r="K49" t="str">
        <f t="shared" si="2"/>
        <v>PASS</v>
      </c>
      <c r="L49" t="str">
        <f t="shared" si="3"/>
        <v>B</v>
      </c>
    </row>
    <row r="50" spans="1:12" x14ac:dyDescent="0.3">
      <c r="A50">
        <v>149</v>
      </c>
      <c r="B50" t="s">
        <v>134</v>
      </c>
      <c r="C50" t="s">
        <v>62</v>
      </c>
      <c r="D50" t="s">
        <v>135</v>
      </c>
      <c r="E50">
        <v>84</v>
      </c>
      <c r="F50">
        <v>87</v>
      </c>
      <c r="G50">
        <v>80</v>
      </c>
      <c r="H50">
        <v>82</v>
      </c>
      <c r="I50">
        <f t="shared" si="0"/>
        <v>333</v>
      </c>
      <c r="J50" s="1">
        <f t="shared" si="1"/>
        <v>83.25</v>
      </c>
      <c r="K50" t="str">
        <f t="shared" si="2"/>
        <v>PASS</v>
      </c>
      <c r="L50" t="str">
        <f t="shared" si="3"/>
        <v>B</v>
      </c>
    </row>
    <row r="51" spans="1:12" x14ac:dyDescent="0.3">
      <c r="A51">
        <v>150</v>
      </c>
      <c r="B51" t="s">
        <v>136</v>
      </c>
      <c r="C51" t="s">
        <v>71</v>
      </c>
      <c r="D51" t="s">
        <v>137</v>
      </c>
      <c r="E51">
        <v>88</v>
      </c>
      <c r="F51">
        <v>82</v>
      </c>
      <c r="G51">
        <v>85</v>
      </c>
      <c r="H51">
        <v>87</v>
      </c>
      <c r="I51">
        <f t="shared" si="0"/>
        <v>342</v>
      </c>
      <c r="J51" s="1">
        <f t="shared" si="1"/>
        <v>85.5</v>
      </c>
      <c r="K51" t="str">
        <f t="shared" si="2"/>
        <v>PASS</v>
      </c>
      <c r="L51" t="str">
        <f t="shared" si="3"/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Malusare</dc:creator>
  <cp:lastModifiedBy>vedanti kingri</cp:lastModifiedBy>
  <dcterms:created xsi:type="dcterms:W3CDTF">2026-02-05T03:37:12Z</dcterms:created>
  <dcterms:modified xsi:type="dcterms:W3CDTF">2026-06-03T10:39:39Z</dcterms:modified>
</cp:coreProperties>
</file>